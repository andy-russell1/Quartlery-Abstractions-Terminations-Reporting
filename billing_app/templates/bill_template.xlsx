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avillsglobal.sharepoint.com/sites/KnowledgeCubedResourceHub/Knowledge Cubed Client Resources/Traditional Clients/Billing/"/>
    </mc:Choice>
  </mc:AlternateContent>
  <xr:revisionPtr revIDLastSave="11" documentId="8_{080F1917-D62B-454F-AF7B-617BB38A9BBC}" xr6:coauthVersionLast="47" xr6:coauthVersionMax="47" xr10:uidLastSave="{4B15D9DD-DFED-4A3E-A8FB-2CA2444F77FE}"/>
  <bookViews>
    <workbookView xWindow="28680" yWindow="-120" windowWidth="51840" windowHeight="21120" tabRatio="781" firstSheet="1" activeTab="1" xr2:uid="{C544C18C-A612-4790-B917-4D3364BE6178}"/>
  </bookViews>
  <sheets>
    <sheet name="INPUTS" sheetId="1" r:id="rId1"/>
    <sheet name="Parameters" sheetId="10" r:id="rId2"/>
    <sheet name="Payable (HLSELIST)" sheetId="2" r:id="rId3"/>
    <sheet name="Receivable (LEASELIST)" sheetId="3" r:id="rId4"/>
    <sheet name="Freehold (PROPLIST)" sheetId="4" r:id="rId5"/>
    <sheet name="Prev Period Master" sheetId="5" r:id="rId6"/>
    <sheet name="OUTPUTS" sheetId="6" r:id="rId7"/>
    <sheet name="New Period Master" sheetId="7" r:id="rId8"/>
    <sheet name="Summary" sheetId="8" r:id="rId9"/>
    <sheet name="Bill" sheetId="9" r:id="rId10"/>
  </sheets>
  <definedNames>
    <definedName name="_xlnm._FilterDatabase" localSheetId="4" hidden="1">'Freehold (PROPLIST)'!$A$1:$L$1</definedName>
    <definedName name="_xlnm._FilterDatabase" localSheetId="7" hidden="1">'New Period Master'!$A$1:$B$42</definedName>
    <definedName name="_xlnm._FilterDatabase" localSheetId="5" hidden="1">'Prev Period Master'!$A$1:$B$38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 a="1"/>
  <c r="B4" i="8" s="1"/>
  <c r="B10" i="8"/>
  <c r="B9" i="8"/>
  <c r="B8" i="8"/>
  <c r="F6" i="9"/>
  <c r="F7" i="9"/>
  <c r="F5" i="9"/>
  <c r="C7" i="9"/>
  <c r="C4" i="9"/>
  <c r="G12" i="9"/>
  <c r="H12" i="9" s="1"/>
  <c r="E11" i="9"/>
  <c r="C11" i="9"/>
  <c r="H13" i="9"/>
  <c r="F4" i="9"/>
  <c r="F3" i="9"/>
  <c r="F2" i="9"/>
  <c r="F1" i="9"/>
  <c r="C6" i="9"/>
  <c r="C5" i="9"/>
  <c r="C3" i="9"/>
  <c r="B2" i="9"/>
  <c r="B3" i="8" a="1"/>
  <c r="B3" i="8" s="1"/>
  <c r="B2" i="8" a="1"/>
  <c r="B2" i="8" s="1"/>
  <c r="B16" i="8" l="1"/>
  <c r="B15" i="8"/>
  <c r="B11" i="8"/>
  <c r="B5" i="8"/>
  <c r="B17" i="8" l="1"/>
  <c r="D11" i="9"/>
  <c r="F11" i="9" s="1"/>
  <c r="D12" i="9"/>
  <c r="D13" i="9"/>
  <c r="F14" i="9" l="1"/>
  <c r="G11" i="9"/>
  <c r="G14" i="9" l="1"/>
  <c r="H11" i="9"/>
  <c r="H1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<sst xmlns="http://schemas.openxmlformats.org/spreadsheetml/2006/main" count="119" uniqueCount="91">
  <si>
    <t>Client Name</t>
  </si>
  <si>
    <t>Currency</t>
  </si>
  <si>
    <t>Billing Period Start Date</t>
  </si>
  <si>
    <t>Billing Period End Date</t>
  </si>
  <si>
    <t>Billing Frequency</t>
  </si>
  <si>
    <t>Client PO Number</t>
  </si>
  <si>
    <t>Payment Terms</t>
  </si>
  <si>
    <t>Instruction Number</t>
  </si>
  <si>
    <t>Prev Bil Date</t>
  </si>
  <si>
    <t>Next Bill Date</t>
  </si>
  <si>
    <t>Lease Payable</t>
  </si>
  <si>
    <t>Reconciliation Ind</t>
  </si>
  <si>
    <t>Lease Payable Description</t>
  </si>
  <si>
    <t>Type</t>
  </si>
  <si>
    <t>Landlord Ref</t>
  </si>
  <si>
    <t>Landlord Name</t>
  </si>
  <si>
    <t>Property Ref</t>
  </si>
  <si>
    <t>Property Name</t>
  </si>
  <si>
    <t>Lease Start Date</t>
  </si>
  <si>
    <t>Lease Expiry Date</t>
  </si>
  <si>
    <t>Status</t>
  </si>
  <si>
    <t>Alerts</t>
  </si>
  <si>
    <t>Transactions</t>
  </si>
  <si>
    <t>Passing Rent</t>
  </si>
  <si>
    <t>Document Language Code</t>
  </si>
  <si>
    <t>Document Language</t>
  </si>
  <si>
    <t>Map</t>
  </si>
  <si>
    <t>Lease</t>
  </si>
  <si>
    <t>Lease Description</t>
  </si>
  <si>
    <t>Collection ID</t>
  </si>
  <si>
    <t>Tenant Ref</t>
  </si>
  <si>
    <t>Tenant Name</t>
  </si>
  <si>
    <t>Property</t>
  </si>
  <si>
    <t>Address Line 1</t>
  </si>
  <si>
    <t>Manager Name</t>
  </si>
  <si>
    <t>ERV</t>
  </si>
  <si>
    <t>Passing Rent (REC)</t>
  </si>
  <si>
    <t>Passing Rent (PAY)</t>
  </si>
  <si>
    <t>Planner</t>
  </si>
  <si>
    <t>Public Holiday</t>
  </si>
  <si>
    <t>30 days</t>
  </si>
  <si>
    <t>LeaseID</t>
  </si>
  <si>
    <t>Description/Property Name</t>
  </si>
  <si>
    <t>Prev Bill data from Dec 2024 report</t>
  </si>
  <si>
    <t>Count Payable</t>
  </si>
  <si>
    <t>Count Receivable</t>
  </si>
  <si>
    <t>Count Freehold/Blank</t>
  </si>
  <si>
    <t>Total</t>
  </si>
  <si>
    <t>Current Bill Summary</t>
  </si>
  <si>
    <t>Count Freehold</t>
  </si>
  <si>
    <t>Total - chargeable</t>
  </si>
  <si>
    <t>Changes in MRI</t>
  </si>
  <si>
    <t>Count Terminated</t>
  </si>
  <si>
    <t>Count Abstracted</t>
  </si>
  <si>
    <t>xChange since last bill</t>
  </si>
  <si>
    <t>GBP</t>
  </si>
  <si>
    <t>Scope</t>
  </si>
  <si>
    <t>VAT Applied?</t>
  </si>
  <si>
    <t>Person to be billed</t>
  </si>
  <si>
    <t>Exchange Rate</t>
  </si>
  <si>
    <t>Annual Charge per lease</t>
  </si>
  <si>
    <t xml:space="preserve">Instruction number </t>
  </si>
  <si>
    <t>Previous Bill Date</t>
  </si>
  <si>
    <t xml:space="preserve">Next Bill Date </t>
  </si>
  <si>
    <t>Billing Period</t>
  </si>
  <si>
    <t>VAT applied?</t>
  </si>
  <si>
    <t xml:space="preserve">Client PO Number </t>
  </si>
  <si>
    <t>Notes</t>
  </si>
  <si>
    <t>Database Management Fee</t>
  </si>
  <si>
    <t>Number of Contracts</t>
  </si>
  <si>
    <t>Annual Charge Per Contract (GBP)</t>
  </si>
  <si>
    <t>Net Fee For Period</t>
  </si>
  <si>
    <t>VAT @ 20%</t>
  </si>
  <si>
    <t>Total Fee (GBP)</t>
  </si>
  <si>
    <t>Cost of MRI PLE Database increases by £750.00 p/a per 50 leased locations / owned sites</t>
  </si>
  <si>
    <t>Annual MRI ProLease Enterprise Database fee</t>
  </si>
  <si>
    <t>Full reporting package</t>
  </si>
  <si>
    <t>n/a</t>
  </si>
  <si>
    <t>New Abstractions Completed</t>
  </si>
  <si>
    <t>System ID</t>
  </si>
  <si>
    <t>Charge Per Contract (GBP)</t>
  </si>
  <si>
    <t>Net Fee</t>
  </si>
  <si>
    <t>Step 1</t>
  </si>
  <si>
    <t>Save a copy of this sheet in the relevant folder. Make sure it is dated correctly</t>
  </si>
  <si>
    <t>Step 2</t>
  </si>
  <si>
    <t>Step 3</t>
  </si>
  <si>
    <t>Step 4</t>
  </si>
  <si>
    <t>Under 'Developer' -&gt; 'Macros' -&gt; Run 'BillingGeneration'</t>
  </si>
  <si>
    <t>Find Bill output under 'Bill' sheet</t>
  </si>
  <si>
    <t>Import all data into all sheets coloured green. Parameters require Column B ONLY to complete the bill. Do NOT leave gaps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</si>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</sst>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[$-F800]dddd\,\ mmmm\ dd\,\ yyyy"/>
    <numFmt numFmtId="166" formatCode="[$-809]dd\ mmmm\ yyyy;@"/>
    <numFmt numFmtId="167" formatCode="_-\£* #,##0.00_-;\-\£* #,##0.00_-;_-\£* &quot;-&quot;??_-;_-@_-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A3838"/>
      <name val="Century Gothic"/>
      <family val="2"/>
    </font>
    <font>
      <sz val="11"/>
      <name val="Century Gothic"/>
      <family val="2"/>
    </font>
    <font>
      <sz val="11"/>
      <color rgb="FF000000"/>
      <name val="Century Gothic"/>
      <family val="2"/>
    </font>
    <font>
      <b/>
      <sz val="16"/>
      <color rgb="FF3A3838"/>
      <name val="Century Gothic"/>
      <family val="2"/>
    </font>
    <font>
      <sz val="12"/>
      <name val="Century Gothic"/>
      <family val="2"/>
    </font>
    <font>
      <b/>
      <sz val="11"/>
      <color rgb="FF3A3838"/>
      <name val="Century Gothic"/>
      <family val="2"/>
    </font>
    <font>
      <b/>
      <sz val="11"/>
      <name val="Century Gothic"/>
      <family val="2"/>
    </font>
    <font>
      <b/>
      <sz val="10"/>
      <color rgb="FFFFFFFF"/>
      <name val="Century Gothic"/>
      <family val="2"/>
    </font>
    <font>
      <sz val="10"/>
      <color rgb="FF000000"/>
      <name val="Century Gothic"/>
      <family val="2"/>
    </font>
    <font>
      <sz val="11"/>
      <color rgb="FFFFFFFF"/>
      <name val="Century Gothic"/>
      <family val="2"/>
    </font>
    <font>
      <b/>
      <sz val="11"/>
      <color rgb="FFFFFFFF"/>
      <name val="Century Gothic"/>
      <family val="2"/>
    </font>
    <font>
      <b/>
      <i/>
      <sz val="10"/>
      <color rgb="FFFFFFFF"/>
      <name val="Century Gothic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2C8395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rgb="FFCCE0D2"/>
      </bottom>
      <diagonal/>
    </border>
    <border>
      <left style="thin">
        <color rgb="FFD9D9D9"/>
      </left>
      <right style="thin">
        <color rgb="FFD9D9D9"/>
      </right>
      <top style="thick">
        <color rgb="FFCCE0D2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ck">
        <color rgb="FFCCE0D2"/>
      </bottom>
      <diagonal/>
    </border>
    <border>
      <left style="thin">
        <color rgb="FFD9D9D9"/>
      </left>
      <right/>
      <top style="thick">
        <color rgb="FFCCE0D2"/>
      </top>
      <bottom style="thin">
        <color rgb="FFD9D9D9"/>
      </bottom>
      <diagonal/>
    </border>
    <border>
      <left/>
      <right/>
      <top style="thick">
        <color rgb="FFCCE0D2"/>
      </top>
      <bottom style="thin">
        <color rgb="FFD9D9D9"/>
      </bottom>
      <diagonal/>
    </border>
    <border>
      <left/>
      <right style="thin">
        <color rgb="FFD9D9D9"/>
      </right>
      <top style="thick">
        <color rgb="FFCCE0D2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ck">
        <color rgb="FFCCE0D2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165" fontId="0" fillId="0" borderId="0" xfId="0" applyNumberFormat="1"/>
    <xf numFmtId="0" fontId="0" fillId="0" borderId="3" xfId="0" applyBorder="1"/>
    <xf numFmtId="0" fontId="0" fillId="0" borderId="4" xfId="0" applyBorder="1"/>
    <xf numFmtId="0" fontId="1" fillId="0" borderId="1" xfId="0" applyFont="1" applyBorder="1"/>
    <xf numFmtId="0" fontId="1" fillId="0" borderId="2" xfId="0" applyFont="1" applyBorder="1"/>
    <xf numFmtId="0" fontId="4" fillId="5" borderId="0" xfId="0" applyFont="1" applyFill="1"/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/>
    <xf numFmtId="0" fontId="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166" fontId="2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6" borderId="5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4" fontId="4" fillId="5" borderId="7" xfId="0" applyNumberFormat="1" applyFont="1" applyFill="1" applyBorder="1" applyAlignment="1">
      <alignment horizontal="center" vertical="center"/>
    </xf>
    <xf numFmtId="0" fontId="11" fillId="7" borderId="10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/>
    </xf>
    <xf numFmtId="0" fontId="12" fillId="7" borderId="12" xfId="0" applyFont="1" applyFill="1" applyBorder="1" applyAlignment="1">
      <alignment horizontal="center"/>
    </xf>
    <xf numFmtId="4" fontId="4" fillId="5" borderId="13" xfId="0" applyNumberFormat="1" applyFont="1" applyFill="1" applyBorder="1" applyAlignment="1">
      <alignment horizontal="center"/>
    </xf>
    <xf numFmtId="0" fontId="13" fillId="6" borderId="0" xfId="0" applyFont="1" applyFill="1"/>
    <xf numFmtId="0" fontId="4" fillId="0" borderId="0" xfId="0" applyFont="1"/>
    <xf numFmtId="167" fontId="0" fillId="0" borderId="0" xfId="0" applyNumberFormat="1"/>
    <xf numFmtId="167" fontId="9" fillId="6" borderId="5" xfId="0" applyNumberFormat="1" applyFont="1" applyFill="1" applyBorder="1" applyAlignment="1">
      <alignment horizontal="center" vertical="center" wrapText="1"/>
    </xf>
    <xf numFmtId="167" fontId="4" fillId="5" borderId="7" xfId="0" applyNumberFormat="1" applyFont="1" applyFill="1" applyBorder="1" applyAlignment="1">
      <alignment horizontal="center" vertical="center"/>
    </xf>
    <xf numFmtId="167" fontId="4" fillId="5" borderId="13" xfId="0" applyNumberFormat="1" applyFont="1" applyFill="1" applyBorder="1" applyAlignment="1">
      <alignment horizontal="center"/>
    </xf>
    <xf numFmtId="167" fontId="4" fillId="5" borderId="0" xfId="0" applyNumberFormat="1" applyFont="1" applyFill="1"/>
    <xf numFmtId="0" fontId="0" fillId="8" borderId="0" xfId="0" applyFill="1"/>
    <xf numFmtId="0" fontId="0" fillId="0" borderId="14" xfId="0" applyBorder="1"/>
    <xf numFmtId="0" fontId="0" fillId="8" borderId="14" xfId="0" applyFill="1" applyBorder="1"/>
    <xf numFmtId="165" fontId="0" fillId="8" borderId="14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0" fillId="5" borderId="6" xfId="0" applyFont="1" applyFill="1" applyBorder="1" applyAlignment="1">
      <alignment vertical="top" wrapText="1"/>
    </xf>
    <xf numFmtId="0" fontId="10" fillId="5" borderId="8" xfId="0" applyFont="1" applyFill="1" applyBorder="1" applyAlignment="1">
      <alignment vertical="top" wrapText="1"/>
    </xf>
    <xf numFmtId="0" fontId="10" fillId="5" borderId="9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D714-C283-4866-981A-4E8F2EAD9E6A}">
  <sheetPr codeName="Sheet1">
    <tabColor theme="9"/>
  </sheetPr>
  <dimension ref="A1:B4"/>
  <sheetViews>
    <sheetView workbookViewId="0">
      <selection activeCell="B2" sqref="B2"/>
    </sheetView>
  </sheetViews>
  <sheetFormatPr defaultRowHeight="14.5" x14ac:dyDescent="0.35"/>
  <cols>
    <col min="2" max="2" width="107.36328125" bestFit="1" customWidth="1"/>
  </cols>
  <sheetData>
    <row r="1" spans="1:2" x14ac:dyDescent="0.35">
      <c r="A1" s="2" t="s">
        <v>82</v>
      </c>
      <c r="B1" s="2" t="s">
        <v>83</v>
      </c>
    </row>
    <row r="2" spans="1:2" x14ac:dyDescent="0.35">
      <c r="A2" s="2" t="s">
        <v>84</v>
      </c>
      <c r="B2" s="2" t="s">
        <v>89</v>
      </c>
    </row>
    <row r="3" spans="1:2" x14ac:dyDescent="0.35">
      <c r="A3" s="2" t="s">
        <v>85</v>
      </c>
      <c r="B3" s="2" t="s">
        <v>87</v>
      </c>
    </row>
    <row r="4" spans="1:2" x14ac:dyDescent="0.35">
      <c r="A4" s="2" t="s">
        <v>86</v>
      </c>
      <c r="B4" s="2" t="s">
        <v>88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E695-1D88-485C-B294-4179501B6905}">
  <sheetPr codeName="Sheet2">
    <tabColor theme="9" tint="0.59999389629810485"/>
  </sheetPr>
  <dimension ref="A1:F15"/>
  <sheetViews>
    <sheetView tabSelected="1" zoomScale="70" zoomScaleNormal="70" workbookViewId="0">
      <selection activeCell="I14" sqref="I14"/>
    </sheetView>
  </sheetViews>
  <sheetFormatPr defaultRowHeight="14.5" x14ac:dyDescent="0.35"/>
  <cols>
    <col min="1" max="1" width="24.08984375" bestFit="1" customWidth="1"/>
    <col min="2" max="2" width="16.90625" style="38" customWidth="1"/>
    <col min="6" max="6" width="16.54296875" bestFit="1" customWidth="1"/>
    <col min="7" max="7" width="17.90625" bestFit="1" customWidth="1"/>
    <col min="8" max="11" width="16.6328125" bestFit="1" customWidth="1"/>
  </cols>
  <sheetData>
    <row r="1" spans="1:6" x14ac:dyDescent="0.35">
      <c r="A1" s="39" t="s">
        <v>0</v>
      </c>
      <c r="B1" s="40" t="s">
        <v>90</v>
      </c>
    </row>
    <row r="2" spans="1:6" x14ac:dyDescent="0.35">
      <c r="A2" s="39" t="s">
        <v>1</v>
      </c>
      <c r="B2" s="40" t="s">
        <v>55</v>
      </c>
    </row>
    <row r="3" spans="1:6" x14ac:dyDescent="0.35">
      <c r="A3" s="39" t="s">
        <v>59</v>
      </c>
      <c r="B3" s="40"/>
    </row>
    <row r="4" spans="1:6" x14ac:dyDescent="0.35">
      <c r="A4" s="39" t="s">
        <v>2</v>
      </c>
      <c r="B4" s="41"/>
      <c r="F4" s="5"/>
    </row>
    <row r="5" spans="1:6" x14ac:dyDescent="0.35">
      <c r="A5" s="39" t="s">
        <v>3</v>
      </c>
      <c r="B5" s="41"/>
      <c r="F5" s="5"/>
    </row>
    <row r="6" spans="1:6" x14ac:dyDescent="0.35">
      <c r="A6" s="39" t="s">
        <v>4</v>
      </c>
      <c r="B6" s="40"/>
    </row>
    <row r="7" spans="1:6" x14ac:dyDescent="0.35">
      <c r="A7" s="39" t="s">
        <v>5</v>
      </c>
      <c r="B7" s="40"/>
    </row>
    <row r="8" spans="1:6" x14ac:dyDescent="0.35">
      <c r="A8" s="39" t="s">
        <v>6</v>
      </c>
      <c r="B8" s="40" t="s">
        <v>40</v>
      </c>
    </row>
    <row r="9" spans="1:6" x14ac:dyDescent="0.35">
      <c r="A9" s="39" t="s">
        <v>7</v>
      </c>
      <c r="B9" s="40"/>
    </row>
    <row r="10" spans="1:6" x14ac:dyDescent="0.35">
      <c r="A10" s="39" t="s">
        <v>8</v>
      </c>
      <c r="B10" s="41"/>
      <c r="F10" s="5"/>
    </row>
    <row r="11" spans="1:6" x14ac:dyDescent="0.35">
      <c r="A11" s="39" t="s">
        <v>9</v>
      </c>
      <c r="B11" s="41"/>
      <c r="F11" s="5"/>
    </row>
    <row r="12" spans="1:6" x14ac:dyDescent="0.35">
      <c r="A12" s="39" t="s">
        <v>56</v>
      </c>
      <c r="B12" s="40"/>
    </row>
    <row r="13" spans="1:6" x14ac:dyDescent="0.35">
      <c r="A13" s="39" t="s">
        <v>57</v>
      </c>
      <c r="B13" s="40"/>
    </row>
    <row r="14" spans="1:6" x14ac:dyDescent="0.35">
      <c r="A14" s="39" t="s">
        <v>58</v>
      </c>
      <c r="B14" s="40"/>
    </row>
    <row r="15" spans="1:6" x14ac:dyDescent="0.35">
      <c r="A15" s="39" t="s">
        <v>60</v>
      </c>
      <c r="B15" s="40">
        <v>0</v>
      </c>
    </row>
  </sheetData>
  <phoneticPr fontId="14" type="noConversion"/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467D5-ADE6-411C-897D-C58B53AD361B}">
  <sheetPr codeName="Sheet3">
    <tabColor theme="9" tint="0.59999389629810485"/>
  </sheetPr>
  <dimension ref="A1:Q42"/>
  <sheetViews>
    <sheetView zoomScaleNormal="100" workbookViewId="0">
      <selection activeCell="A2" sqref="A2"/>
    </sheetView>
  </sheetViews>
  <sheetFormatPr defaultRowHeight="14.5" x14ac:dyDescent="0.35"/>
  <cols>
    <col min="9" max="10" width="11.6328125" bestFit="1" customWidth="1"/>
    <col min="12" max="13" width="9" bestFit="1" customWidth="1"/>
    <col min="14" max="14" width="10" bestFit="1" customWidth="1"/>
    <col min="17" max="17" width="9" bestFit="1" customWidth="1"/>
  </cols>
  <sheetData>
    <row r="1" spans="1:17" ht="14.4" customHeight="1" x14ac:dyDescent="0.35">
      <c r="A1" t="s">
        <v>10</v>
      </c>
      <c r="B1" t="s">
        <v>17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</row>
    <row r="2" spans="1:17" ht="14.4" customHeight="1" x14ac:dyDescent="0.35">
      <c r="I2" s="1"/>
      <c r="J2" s="1"/>
    </row>
    <row r="3" spans="1:17" ht="14.4" customHeight="1" x14ac:dyDescent="0.35">
      <c r="I3" s="1"/>
      <c r="J3" s="1"/>
    </row>
    <row r="4" spans="1:17" ht="14.4" customHeight="1" x14ac:dyDescent="0.35">
      <c r="I4" s="1"/>
      <c r="J4" s="1"/>
    </row>
    <row r="5" spans="1:17" ht="14.4" customHeight="1" x14ac:dyDescent="0.35">
      <c r="I5" s="1"/>
      <c r="J5" s="1"/>
    </row>
    <row r="6" spans="1:17" ht="14.4" customHeight="1" x14ac:dyDescent="0.35">
      <c r="I6" s="1"/>
      <c r="J6" s="1"/>
    </row>
    <row r="7" spans="1:17" ht="14.4" customHeight="1" x14ac:dyDescent="0.35">
      <c r="I7" s="1"/>
      <c r="J7" s="1"/>
    </row>
    <row r="8" spans="1:17" ht="14.4" customHeight="1" x14ac:dyDescent="0.35">
      <c r="I8" s="1"/>
      <c r="J8" s="1"/>
    </row>
    <row r="9" spans="1:17" ht="14.4" customHeight="1" x14ac:dyDescent="0.35">
      <c r="I9" s="1"/>
      <c r="J9" s="1"/>
    </row>
    <row r="10" spans="1:17" ht="14.4" customHeight="1" x14ac:dyDescent="0.35">
      <c r="I10" s="1"/>
      <c r="J10" s="1"/>
    </row>
    <row r="11" spans="1:17" ht="14.4" customHeight="1" x14ac:dyDescent="0.35">
      <c r="I11" s="1"/>
      <c r="J11" s="1"/>
    </row>
    <row r="12" spans="1:17" ht="14.4" customHeight="1" x14ac:dyDescent="0.35">
      <c r="I12" s="1"/>
      <c r="J12" s="1"/>
    </row>
    <row r="13" spans="1:17" ht="14.4" customHeight="1" x14ac:dyDescent="0.35">
      <c r="I13" s="1"/>
    </row>
    <row r="14" spans="1:17" ht="14.4" customHeight="1" x14ac:dyDescent="0.35">
      <c r="I14" s="1"/>
      <c r="J14" s="1"/>
    </row>
    <row r="15" spans="1:17" ht="14.4" customHeight="1" x14ac:dyDescent="0.35">
      <c r="I15" s="1"/>
      <c r="J15" s="1"/>
    </row>
    <row r="16" spans="1:17" ht="14.4" customHeight="1" x14ac:dyDescent="0.35">
      <c r="I16" s="1"/>
      <c r="J16" s="1"/>
    </row>
    <row r="17" spans="9:10" ht="14.4" customHeight="1" x14ac:dyDescent="0.35">
      <c r="I17" s="1"/>
      <c r="J17" s="1"/>
    </row>
    <row r="18" spans="9:10" ht="14.4" customHeight="1" x14ac:dyDescent="0.35">
      <c r="I18" s="1"/>
      <c r="J18" s="1"/>
    </row>
    <row r="19" spans="9:10" ht="14.4" customHeight="1" x14ac:dyDescent="0.35">
      <c r="I19" s="1"/>
      <c r="J19" s="1"/>
    </row>
    <row r="20" spans="9:10" ht="14.4" customHeight="1" x14ac:dyDescent="0.35">
      <c r="I20" s="1"/>
      <c r="J20" s="1"/>
    </row>
    <row r="21" spans="9:10" ht="14.4" customHeight="1" x14ac:dyDescent="0.35">
      <c r="I21" s="1"/>
      <c r="J21" s="1"/>
    </row>
    <row r="22" spans="9:10" ht="14.4" customHeight="1" x14ac:dyDescent="0.35">
      <c r="I22" s="1"/>
      <c r="J22" s="1"/>
    </row>
    <row r="23" spans="9:10" ht="14.4" customHeight="1" x14ac:dyDescent="0.35">
      <c r="I23" s="1"/>
      <c r="J23" s="1"/>
    </row>
    <row r="24" spans="9:10" ht="14.4" customHeight="1" x14ac:dyDescent="0.35">
      <c r="I24" s="1"/>
      <c r="J24" s="1"/>
    </row>
    <row r="25" spans="9:10" ht="14.4" customHeight="1" x14ac:dyDescent="0.35">
      <c r="I25" s="1"/>
      <c r="J25" s="1"/>
    </row>
    <row r="26" spans="9:10" ht="14.4" customHeight="1" x14ac:dyDescent="0.35">
      <c r="I26" s="1"/>
      <c r="J26" s="1"/>
    </row>
    <row r="27" spans="9:10" ht="14.4" customHeight="1" x14ac:dyDescent="0.35">
      <c r="I27" s="1"/>
      <c r="J27" s="1"/>
    </row>
    <row r="28" spans="9:10" ht="14.4" customHeight="1" x14ac:dyDescent="0.35">
      <c r="I28" s="1"/>
      <c r="J28" s="1"/>
    </row>
    <row r="29" spans="9:10" ht="14.4" customHeight="1" x14ac:dyDescent="0.35">
      <c r="I29" s="1"/>
      <c r="J29" s="1"/>
    </row>
    <row r="30" spans="9:10" ht="14.4" customHeight="1" x14ac:dyDescent="0.35">
      <c r="I30" s="1"/>
      <c r="J30" s="1"/>
    </row>
    <row r="31" spans="9:10" ht="14.4" customHeight="1" x14ac:dyDescent="0.35">
      <c r="I31" s="1"/>
      <c r="J31" s="1"/>
    </row>
    <row r="32" spans="9:10" ht="14.4" customHeight="1" x14ac:dyDescent="0.35">
      <c r="I32" s="1"/>
      <c r="J32" s="1"/>
    </row>
    <row r="33" spans="9:10" ht="14.4" customHeight="1" x14ac:dyDescent="0.35">
      <c r="I33" s="1"/>
      <c r="J33" s="1"/>
    </row>
    <row r="34" spans="9:10" ht="14.4" customHeight="1" x14ac:dyDescent="0.35">
      <c r="I34" s="1"/>
      <c r="J34" s="1"/>
    </row>
    <row r="35" spans="9:10" ht="14.4" customHeight="1" x14ac:dyDescent="0.35">
      <c r="I35" s="1"/>
      <c r="J35" s="1"/>
    </row>
    <row r="36" spans="9:10" ht="14.4" customHeight="1" x14ac:dyDescent="0.35">
      <c r="I36" s="1"/>
      <c r="J36" s="1"/>
    </row>
    <row r="37" spans="9:10" ht="14.4" customHeight="1" x14ac:dyDescent="0.35">
      <c r="I37" s="1"/>
      <c r="J37" s="1"/>
    </row>
    <row r="38" spans="9:10" ht="14.4" customHeight="1" x14ac:dyDescent="0.35">
      <c r="I38" s="1"/>
      <c r="J38" s="1"/>
    </row>
    <row r="39" spans="9:10" ht="14.4" customHeight="1" x14ac:dyDescent="0.35">
      <c r="I39" s="1"/>
      <c r="J39" s="1"/>
    </row>
    <row r="40" spans="9:10" ht="14.4" customHeight="1" x14ac:dyDescent="0.35">
      <c r="I40" s="1"/>
      <c r="J40" s="1"/>
    </row>
    <row r="41" spans="9:10" ht="14.4" customHeight="1" x14ac:dyDescent="0.35">
      <c r="I41" s="1"/>
      <c r="J41" s="1"/>
    </row>
    <row r="42" spans="9:10" ht="14.4" customHeight="1" x14ac:dyDescent="0.35">
      <c r="I42" s="1"/>
      <c r="J42" s="1"/>
    </row>
  </sheetData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2874-2C4B-4AA9-802B-164277EE2E6B}">
  <sheetPr codeName="Sheet4">
    <tabColor theme="9" tint="0.59999389629810485"/>
  </sheetPr>
  <dimension ref="A1:N1"/>
  <sheetViews>
    <sheetView zoomScaleNormal="100" workbookViewId="0">
      <selection activeCell="G10" sqref="G10"/>
    </sheetView>
  </sheetViews>
  <sheetFormatPr defaultRowHeight="14.5" x14ac:dyDescent="0.35"/>
  <cols>
    <col min="1" max="1" width="9" bestFit="1" customWidth="1"/>
    <col min="2" max="3" width="17.08984375" bestFit="1" customWidth="1"/>
    <col min="4" max="4" width="12.453125" bestFit="1" customWidth="1"/>
    <col min="5" max="5" width="5.08984375" bestFit="1" customWidth="1"/>
    <col min="6" max="6" width="10.453125" bestFit="1" customWidth="1"/>
    <col min="7" max="7" width="12.453125" bestFit="1" customWidth="1"/>
    <col min="8" max="8" width="11.90625" bestFit="1" customWidth="1"/>
    <col min="9" max="9" width="15.453125" bestFit="1" customWidth="1"/>
    <col min="10" max="10" width="16.81640625" bestFit="1" customWidth="1"/>
    <col min="11" max="11" width="12.1796875" bestFit="1" customWidth="1"/>
    <col min="12" max="12" width="6.54296875" bestFit="1" customWidth="1"/>
    <col min="13" max="13" width="6.08984375" bestFit="1" customWidth="1"/>
    <col min="14" max="14" width="12.08984375" bestFit="1" customWidth="1"/>
  </cols>
  <sheetData>
    <row r="1" spans="1:14" x14ac:dyDescent="0.35">
      <c r="A1" t="s">
        <v>27</v>
      </c>
      <c r="B1" t="s">
        <v>28</v>
      </c>
      <c r="C1" t="s">
        <v>11</v>
      </c>
      <c r="D1" t="s">
        <v>29</v>
      </c>
      <c r="E1" t="s">
        <v>13</v>
      </c>
      <c r="F1" t="s">
        <v>30</v>
      </c>
      <c r="G1" t="s">
        <v>31</v>
      </c>
      <c r="H1" t="s">
        <v>16</v>
      </c>
      <c r="I1" t="s">
        <v>18</v>
      </c>
      <c r="J1" t="s">
        <v>19</v>
      </c>
      <c r="K1" t="s">
        <v>23</v>
      </c>
      <c r="L1" t="s">
        <v>20</v>
      </c>
      <c r="M1" t="s">
        <v>21</v>
      </c>
      <c r="N1" t="s">
        <v>22</v>
      </c>
    </row>
  </sheetData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82CA1-2129-4D18-9471-C619F2B0A2F6}">
  <sheetPr codeName="Sheet5">
    <tabColor theme="9" tint="0.59999389629810485"/>
  </sheetPr>
  <dimension ref="A1:L1"/>
  <sheetViews>
    <sheetView zoomScaleNormal="100" workbookViewId="0">
      <selection activeCell="A2" sqref="A2"/>
    </sheetView>
  </sheetViews>
  <sheetFormatPr defaultRowHeight="14.5" x14ac:dyDescent="0.35"/>
  <cols>
    <col min="2" max="2" width="35.1796875" bestFit="1" customWidth="1"/>
    <col min="7" max="7" width="8.90625" customWidth="1"/>
  </cols>
  <sheetData>
    <row r="1" spans="1:12" x14ac:dyDescent="0.35">
      <c r="A1" t="s">
        <v>32</v>
      </c>
      <c r="B1" t="s">
        <v>17</v>
      </c>
      <c r="C1" t="s">
        <v>33</v>
      </c>
      <c r="D1" t="s">
        <v>34</v>
      </c>
      <c r="E1" t="s">
        <v>13</v>
      </c>
      <c r="F1" t="s">
        <v>35</v>
      </c>
      <c r="G1" t="s">
        <v>36</v>
      </c>
      <c r="H1" t="s">
        <v>37</v>
      </c>
      <c r="I1" t="s">
        <v>21</v>
      </c>
      <c r="J1" t="s">
        <v>38</v>
      </c>
      <c r="K1" t="s">
        <v>39</v>
      </c>
      <c r="L1" t="s">
        <v>26</v>
      </c>
    </row>
  </sheetData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0EC0-FBB3-438C-B416-CDF06FC041E6}">
  <sheetPr codeName="Sheet6">
    <tabColor theme="9" tint="0.59999389629810485"/>
  </sheetPr>
  <dimension ref="A1:B1"/>
  <sheetViews>
    <sheetView zoomScaleNormal="100" workbookViewId="0">
      <selection activeCell="D17" sqref="D17"/>
    </sheetView>
  </sheetViews>
  <sheetFormatPr defaultRowHeight="14.5" x14ac:dyDescent="0.35"/>
  <cols>
    <col min="1" max="1" width="9" bestFit="1" customWidth="1"/>
    <col min="2" max="2" width="28.36328125" bestFit="1" customWidth="1"/>
    <col min="7" max="7" width="8.90625" customWidth="1"/>
  </cols>
  <sheetData>
    <row r="1" spans="1:2" s="2" customFormat="1" x14ac:dyDescent="0.35">
      <c r="A1" s="2" t="s">
        <v>41</v>
      </c>
      <c r="B1" s="2" t="s">
        <v>42</v>
      </c>
    </row>
  </sheetData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85B8-22BD-4572-9F2D-7B969F6DEF1F}">
  <sheetPr codeName="Sheet7">
    <tabColor theme="5"/>
  </sheetPr>
  <dimension ref="A1"/>
  <sheetViews>
    <sheetView zoomScaleNormal="100" workbookViewId="0"/>
  </sheetViews>
  <sheetFormatPr defaultRowHeight="14.5" x14ac:dyDescent="0.35"/>
  <cols>
    <col min="7" max="7" width="8.90625" customWidth="1"/>
  </cols>
  <sheetData/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D6A4-AC5A-46D2-B10E-1C582D5BB6A6}">
  <sheetPr codeName="Sheet8">
    <tabColor theme="5" tint="0.59999389629810485"/>
  </sheetPr>
  <dimension ref="A1:B1"/>
  <sheetViews>
    <sheetView zoomScaleNormal="100" workbookViewId="0">
      <selection activeCell="A2" sqref="A2"/>
    </sheetView>
  </sheetViews>
  <sheetFormatPr defaultRowHeight="14.5" x14ac:dyDescent="0.35"/>
  <cols>
    <col min="4" max="4" width="8.90625" customWidth="1"/>
  </cols>
  <sheetData>
    <row r="1" spans="1:2" s="2" customFormat="1" x14ac:dyDescent="0.35">
      <c r="A1" s="2" t="s">
        <v>41</v>
      </c>
      <c r="B1" s="2" t="s">
        <v>42</v>
      </c>
    </row>
  </sheetData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0FFD-F9DD-466F-A15C-D84FD0EFEDD0}">
  <sheetPr codeName="Sheet9">
    <tabColor theme="5" tint="0.59999389629810485"/>
  </sheetPr>
  <dimension ref="A1:B17"/>
  <sheetViews>
    <sheetView zoomScaleNormal="100" workbookViewId="0">
      <selection activeCell="K18" sqref="K18"/>
    </sheetView>
  </sheetViews>
  <sheetFormatPr defaultRowHeight="14.5" x14ac:dyDescent="0.35"/>
  <cols>
    <col min="1" max="1" width="32.81640625" customWidth="1"/>
    <col min="2" max="2" width="6" bestFit="1" customWidth="1"/>
  </cols>
  <sheetData>
    <row r="1" spans="1:2" x14ac:dyDescent="0.35">
      <c r="A1" s="42" t="s">
        <v>43</v>
      </c>
      <c r="B1" s="43"/>
    </row>
    <row r="2" spans="1:2" x14ac:dyDescent="0.35">
      <c r="A2" s="6" t="s">
        <v>44</v>
      </c>
      <c r="B2" s="7" cm="1">
        <f t="array" ref="B2">SUMPRODUCT(--(LEFT('Prev Period Master'!A:A,2)="24"))</f>
        <v>0</v>
      </c>
    </row>
    <row r="3" spans="1:2" x14ac:dyDescent="0.35">
      <c r="A3" s="6" t="s">
        <v>45</v>
      </c>
      <c r="B3" s="7" cm="1">
        <f t="array" ref="B3">SUMPRODUCT(--(LEFT('Prev Period Master'!A:A,2)="18"))</f>
        <v>0</v>
      </c>
    </row>
    <row r="4" spans="1:2" x14ac:dyDescent="0.35">
      <c r="A4" s="6" t="s">
        <v>46</v>
      </c>
      <c r="B4" s="7" cm="1">
        <f t="array" ref="B4">SUMPRODUCT(--(LEFT('Prev Period Master'!A:A,2)="15"))</f>
        <v>0</v>
      </c>
    </row>
    <row r="5" spans="1:2" x14ac:dyDescent="0.35">
      <c r="A5" s="8" t="s">
        <v>47</v>
      </c>
      <c r="B5" s="9">
        <f>SUM(B2:B4)</f>
        <v>0</v>
      </c>
    </row>
    <row r="7" spans="1:2" x14ac:dyDescent="0.35">
      <c r="A7" s="44" t="s">
        <v>48</v>
      </c>
      <c r="B7" s="45"/>
    </row>
    <row r="8" spans="1:2" x14ac:dyDescent="0.35">
      <c r="A8" s="6" t="s">
        <v>44</v>
      </c>
      <c r="B8" s="7">
        <f>SUMPRODUCT(--(LEFT('New Period Master'!A2:A42,2)="24"))</f>
        <v>0</v>
      </c>
    </row>
    <row r="9" spans="1:2" x14ac:dyDescent="0.35">
      <c r="A9" s="6" t="s">
        <v>45</v>
      </c>
      <c r="B9" s="7">
        <f>SUMPRODUCT(--(LEFT('New Period Master'!A2:A42,2)="18"))</f>
        <v>0</v>
      </c>
    </row>
    <row r="10" spans="1:2" x14ac:dyDescent="0.35">
      <c r="A10" s="6" t="s">
        <v>49</v>
      </c>
      <c r="B10" s="7">
        <f>SUMPRODUCT(--(LEFT('New Period Master'!A2:A42,2)="15"))</f>
        <v>0</v>
      </c>
    </row>
    <row r="11" spans="1:2" x14ac:dyDescent="0.35">
      <c r="A11" s="8" t="s">
        <v>50</v>
      </c>
      <c r="B11" s="9">
        <f>SUM(B8:B9)</f>
        <v>0</v>
      </c>
    </row>
    <row r="14" spans="1:2" x14ac:dyDescent="0.35">
      <c r="A14" s="44" t="s">
        <v>51</v>
      </c>
      <c r="B14" s="45"/>
    </row>
    <row r="15" spans="1:2" x14ac:dyDescent="0.35">
      <c r="A15" s="6" t="s">
        <v>52</v>
      </c>
      <c r="B15" s="7" t="e">
        <f>COUNTIF('Prev Period Master'!#REF!,"Terminated")</f>
        <v>#REF!</v>
      </c>
    </row>
    <row r="16" spans="1:2" x14ac:dyDescent="0.35">
      <c r="A16" s="6" t="s">
        <v>53</v>
      </c>
      <c r="B16" s="7" t="e">
        <f>COUNTIF('New Period Master'!#REF!,"Abstracted")</f>
        <v>#REF!</v>
      </c>
    </row>
    <row r="17" spans="1:2" x14ac:dyDescent="0.35">
      <c r="A17" s="8" t="s">
        <v>54</v>
      </c>
      <c r="B17" s="9" t="e">
        <f>B16-B15</f>
        <v>#REF!</v>
      </c>
    </row>
  </sheetData>
  <mergeCells count="3">
    <mergeCell ref="A1:B1"/>
    <mergeCell ref="A7:B7"/>
    <mergeCell ref="A14:B14"/>
  </mergeCells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BA79-CBD6-4E43-93F3-3D01F2681D7F}">
  <sheetPr codeName="Sheet10">
    <tabColor theme="5" tint="0.59999389629810485"/>
  </sheetPr>
  <dimension ref="A1:J18"/>
  <sheetViews>
    <sheetView zoomScaleNormal="100" workbookViewId="0">
      <selection activeCell="A47" sqref="A18:XFD47"/>
    </sheetView>
  </sheetViews>
  <sheetFormatPr defaultRowHeight="14.5" x14ac:dyDescent="0.35"/>
  <cols>
    <col min="2" max="2" width="32.81640625" customWidth="1"/>
    <col min="3" max="3" width="50.81640625" customWidth="1"/>
    <col min="4" max="4" width="21" customWidth="1"/>
    <col min="5" max="5" width="21.08984375" customWidth="1"/>
    <col min="6" max="6" width="20.81640625" bestFit="1" customWidth="1"/>
    <col min="7" max="7" width="13.1796875" customWidth="1"/>
    <col min="8" max="8" width="16.1796875" style="33" customWidth="1"/>
  </cols>
  <sheetData>
    <row r="1" spans="1:10" x14ac:dyDescent="0.35">
      <c r="A1" s="10"/>
      <c r="B1" s="4"/>
      <c r="C1" s="4"/>
      <c r="D1" s="10"/>
      <c r="E1" s="4" t="s">
        <v>6</v>
      </c>
      <c r="F1" s="4" t="str">
        <f>Parameters!B8</f>
        <v>30 days</v>
      </c>
      <c r="J1" s="11"/>
    </row>
    <row r="2" spans="1:10" ht="19.5" x14ac:dyDescent="0.35">
      <c r="A2" s="10"/>
      <c r="B2" s="12" t="str">
        <f>Parameters!B1</f>
        <v>xxx</v>
      </c>
      <c r="C2" s="13"/>
      <c r="D2" s="10"/>
      <c r="E2" s="14" t="s">
        <v>61</v>
      </c>
      <c r="F2" s="15">
        <f>Parameters!B9</f>
        <v>0</v>
      </c>
      <c r="J2" s="11"/>
    </row>
    <row r="3" spans="1:10" x14ac:dyDescent="0.35">
      <c r="A3" s="10"/>
      <c r="B3" s="15" t="s">
        <v>1</v>
      </c>
      <c r="C3" s="3" t="str">
        <f>Parameters!B2</f>
        <v>GBP</v>
      </c>
      <c r="D3" s="10"/>
      <c r="E3" s="14" t="s">
        <v>62</v>
      </c>
      <c r="F3" s="16">
        <f>Parameters!B10</f>
        <v>0</v>
      </c>
      <c r="J3" s="11"/>
    </row>
    <row r="4" spans="1:10" x14ac:dyDescent="0.35">
      <c r="A4" s="10"/>
      <c r="B4" s="15" t="s">
        <v>59</v>
      </c>
      <c r="C4" s="15" t="str">
        <f>IF(Parameters!B3=0,"",Parameters!B3)</f>
        <v/>
      </c>
      <c r="D4" s="10"/>
      <c r="E4" s="17" t="s">
        <v>63</v>
      </c>
      <c r="F4" s="16">
        <f>Parameters!B11</f>
        <v>0</v>
      </c>
      <c r="J4" s="11"/>
    </row>
    <row r="5" spans="1:10" x14ac:dyDescent="0.35">
      <c r="A5" s="10"/>
      <c r="B5" s="17" t="s">
        <v>64</v>
      </c>
      <c r="C5" s="15" t="str">
        <f>TEXT(Parameters!B4,"d mmmm yyyy") &amp; " - " &amp; TEXT(Parameters!B5," d mmmm yyyy")</f>
        <v>0 January 1900 -  0 January 1900</v>
      </c>
      <c r="D5" s="10"/>
      <c r="E5" s="15" t="s">
        <v>56</v>
      </c>
      <c r="F5" s="15" t="str">
        <f>IF(Parameters!B12=0,"",Parameters!B12)</f>
        <v/>
      </c>
      <c r="J5" s="11"/>
    </row>
    <row r="6" spans="1:10" x14ac:dyDescent="0.35">
      <c r="A6" s="10"/>
      <c r="B6" s="15" t="s">
        <v>4</v>
      </c>
      <c r="C6" s="3">
        <f>Parameters!B6</f>
        <v>0</v>
      </c>
      <c r="D6" s="10"/>
      <c r="E6" s="15" t="s">
        <v>65</v>
      </c>
      <c r="F6" s="15" t="str">
        <f>IF(Parameters!B13=0,"",Parameters!B13)</f>
        <v/>
      </c>
      <c r="J6" s="11"/>
    </row>
    <row r="7" spans="1:10" x14ac:dyDescent="0.35">
      <c r="A7" s="10"/>
      <c r="B7" s="18" t="s">
        <v>66</v>
      </c>
      <c r="C7" s="15" t="str">
        <f>IF(Parameters!B7=0,"",Parameters!B7)</f>
        <v/>
      </c>
      <c r="D7" s="10"/>
      <c r="E7" s="18" t="s">
        <v>58</v>
      </c>
      <c r="F7" s="15" t="str">
        <f>IF(Parameters!B14=0,"",Parameters!B14)</f>
        <v/>
      </c>
      <c r="J7" s="11"/>
    </row>
    <row r="10" spans="1:10" ht="25.5" thickBot="1" x14ac:dyDescent="0.4">
      <c r="B10" s="19" t="s">
        <v>67</v>
      </c>
      <c r="C10" s="19" t="s">
        <v>68</v>
      </c>
      <c r="D10" s="20" t="s">
        <v>69</v>
      </c>
      <c r="E10" s="20" t="s">
        <v>70</v>
      </c>
      <c r="F10" s="20" t="s">
        <v>71</v>
      </c>
      <c r="G10" s="20" t="s">
        <v>72</v>
      </c>
      <c r="H10" s="34" t="s">
        <v>73</v>
      </c>
    </row>
    <row r="11" spans="1:10" ht="15" thickTop="1" x14ac:dyDescent="0.35">
      <c r="B11" s="46" t="s">
        <v>74</v>
      </c>
      <c r="C11" s="21" t="str">
        <f>"Charged @ "&amp;Parameters!B15&amp;" GBP per lease / p.a "</f>
        <v xml:space="preserve">Charged @ 0 GBP per lease / p.a </v>
      </c>
      <c r="D11" s="22">
        <f>Summary!$B$11</f>
        <v>0</v>
      </c>
      <c r="E11" s="23">
        <f>Parameters!B15</f>
        <v>0</v>
      </c>
      <c r="F11" s="24">
        <f>(E11*D11)*((Parameters!B5-Parameters!B4+1)/365)</f>
        <v>0</v>
      </c>
      <c r="G11" s="25">
        <f>F11*20%</f>
        <v>0</v>
      </c>
      <c r="H11" s="35">
        <f>G11+F11</f>
        <v>0</v>
      </c>
    </row>
    <row r="12" spans="1:10" x14ac:dyDescent="0.35">
      <c r="B12" s="47"/>
      <c r="C12" s="21" t="s">
        <v>75</v>
      </c>
      <c r="D12" s="22">
        <f>Summary!$B$11</f>
        <v>0</v>
      </c>
      <c r="E12" s="23" t="s">
        <v>77</v>
      </c>
      <c r="F12" s="25"/>
      <c r="G12" s="25">
        <f>F12*20%</f>
        <v>0</v>
      </c>
      <c r="H12" s="35">
        <f t="shared" ref="H12:H13" si="0">G12+F12</f>
        <v>0</v>
      </c>
    </row>
    <row r="13" spans="1:10" ht="15" thickBot="1" x14ac:dyDescent="0.4">
      <c r="B13" s="48"/>
      <c r="C13" s="21" t="s">
        <v>76</v>
      </c>
      <c r="D13" s="22">
        <f>Summary!$B$11</f>
        <v>0</v>
      </c>
      <c r="E13" s="23">
        <v>0</v>
      </c>
      <c r="F13" s="25"/>
      <c r="G13" s="25">
        <v>0</v>
      </c>
      <c r="H13" s="35">
        <f t="shared" si="0"/>
        <v>0</v>
      </c>
    </row>
    <row r="14" spans="1:10" ht="15" thickTop="1" x14ac:dyDescent="0.35">
      <c r="B14" s="26"/>
      <c r="C14" s="27"/>
      <c r="D14" s="28"/>
      <c r="E14" s="29" t="s">
        <v>47</v>
      </c>
      <c r="F14" s="30">
        <f>SUM(F11:F13)</f>
        <v>0</v>
      </c>
      <c r="G14" s="30">
        <f>SUM(G11:G13)</f>
        <v>0</v>
      </c>
      <c r="H14" s="36">
        <f>SUM(H11:H13)</f>
        <v>0</v>
      </c>
    </row>
    <row r="16" spans="1:10" x14ac:dyDescent="0.35">
      <c r="A16" s="10"/>
      <c r="B16" s="31" t="s">
        <v>78</v>
      </c>
      <c r="C16" s="32"/>
      <c r="D16" s="10"/>
      <c r="E16" s="10"/>
      <c r="F16" s="10"/>
      <c r="G16" s="10"/>
      <c r="H16" s="37"/>
    </row>
    <row r="17" spans="1:8" ht="25.5" thickBot="1" x14ac:dyDescent="0.4">
      <c r="A17" s="10"/>
      <c r="B17" s="19" t="s">
        <v>79</v>
      </c>
      <c r="C17" s="19" t="s">
        <v>17</v>
      </c>
      <c r="D17" s="20" t="s">
        <v>69</v>
      </c>
      <c r="E17" s="20" t="s">
        <v>80</v>
      </c>
      <c r="F17" s="20" t="s">
        <v>81</v>
      </c>
      <c r="G17" s="20" t="s">
        <v>72</v>
      </c>
      <c r="H17" s="34" t="s">
        <v>73</v>
      </c>
    </row>
    <row r="18" spans="1:8" ht="15" thickTop="1" x14ac:dyDescent="0.35"/>
  </sheetData>
  <mergeCells count="1">
    <mergeCell ref="B11:B13"/>
  </mergeCells>
  <pageMargins left="0.70866141732283472" right="0.70866141732283472" top="1.1979166666666667" bottom="0.74803149606299213" header="0.31496062992125984" footer="0.31496062992125984"/>
  <pageSetup paperSize="9" orientation="portrait" horizontalDpi="360" verticalDpi="360" r:id="rId1"/>
  <headerFooter>
    <oddHeader>&amp;L&amp;G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A6B48CA3A864990E636821327E3AD" ma:contentTypeVersion="12" ma:contentTypeDescription="Create a new document." ma:contentTypeScope="" ma:versionID="7d36abcf32dd3d43e523dd28f2d7d546">
  <xsd:schema xmlns:xsd="http://www.w3.org/2001/XMLSchema" xmlns:xs="http://www.w3.org/2001/XMLSchema" xmlns:p="http://schemas.microsoft.com/office/2006/metadata/properties" xmlns:ns2="b445f2b0-1fd4-4dae-ae74-8a8b32a004e2" xmlns:ns3="dc5ee816-ad64-41df-89a6-20bc5ed5013b" targetNamespace="http://schemas.microsoft.com/office/2006/metadata/properties" ma:root="true" ma:fieldsID="89eba20aba23537fc66962a80aad725c" ns2:_="" ns3:_="">
    <xsd:import namespace="b445f2b0-1fd4-4dae-ae74-8a8b32a004e2"/>
    <xsd:import namespace="dc5ee816-ad64-41df-89a6-20bc5ed50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5f2b0-1fd4-4dae-ae74-8a8b32a00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103dad2-d4f9-409a-ad2a-f264b332fc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ee816-ad64-41df-89a6-20bc5ed50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4d24f-0236-4eaf-8424-7af1330df3ce}" ma:internalName="TaxCatchAll" ma:showField="CatchAllData" ma:web="dc5ee816-ad64-41df-89a6-20bc5ed50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45f2b0-1fd4-4dae-ae74-8a8b32a004e2">
      <Terms xmlns="http://schemas.microsoft.com/office/infopath/2007/PartnerControls"/>
    </lcf76f155ced4ddcb4097134ff3c332f>
    <TaxCatchAll xmlns="dc5ee816-ad64-41df-89a6-20bc5ed501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5BF38F-8AA0-4EEC-9B96-51BC55084DB4}"/>
</file>

<file path=customXml/itemProps2.xml><?xml version="1.0" encoding="utf-8"?>
<ds:datastoreItem xmlns:ds="http://schemas.openxmlformats.org/officeDocument/2006/customXml" ds:itemID="{C6F10FDD-5E4A-4868-8284-47F865A682E8}">
  <ds:schemaRefs>
    <ds:schemaRef ds:uri="http://schemas.microsoft.com/office/2006/metadata/properties"/>
    <ds:schemaRef ds:uri="http://schemas.microsoft.com/office/infopath/2007/PartnerControls"/>
    <ds:schemaRef ds:uri="b445f2b0-1fd4-4dae-ae74-8a8b32a004e2"/>
    <ds:schemaRef ds:uri="dc5ee816-ad64-41df-89a6-20bc5ed5013b"/>
  </ds:schemaRefs>
</ds:datastoreItem>
</file>

<file path=customXml/itemProps3.xml><?xml version="1.0" encoding="utf-8"?>
<ds:datastoreItem xmlns:ds="http://schemas.openxmlformats.org/officeDocument/2006/customXml" ds:itemID="{80D8349D-65A0-422A-8EF1-1274B316AE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INPUTS</vt:lpstr>
      <vt:lpstr>Parameters</vt:lpstr>
      <vt:lpstr>Payable (HLSELIST)</vt:lpstr>
      <vt:lpstr>Receivable (LEASELIST)</vt:lpstr>
      <vt:lpstr>Freehold (PROPLIST)</vt:lpstr>
      <vt:lpstr>Prev Period Master</vt:lpstr>
      <vt:lpstr>OUTPUTS</vt:lpstr>
      <vt:lpstr>New Period Master</vt:lpstr>
      <vt:lpstr>Summary</vt:lpstr>
      <vt:lpstr>Bill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Russell</dc:creator>
  <cp:lastModifiedBy>Andrew Russell</cp:lastModifiedBy>
  <dcterms:created xsi:type="dcterms:W3CDTF">2025-10-01T08:09:13Z</dcterms:created>
  <dcterms:modified xsi:type="dcterms:W3CDTF">2026-03-03T08:53:22Z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0x010100E96A6B48CA3A864990E636821327E3AD</vt:lpwstr>
  </property>
  <property fmtid="{D5CDD505-2E9C-101B-9397-08002B2CF9AE}" pid="3" name="MediaServiceImageTags">
    <vt:lpwstr/>
  </property>
</Properties>
</file>