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ongoing 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809]dd\ mmmm\ yyyy;@"/>
    <numFmt numFmtId="165" formatCode="_-\£* #,##0.00_-;\-\£* #,##0.00_-;_-\£* &quot;-&quot;??_-;_-@_-"/>
    <numFmt numFmtId="166" formatCode="[$GBP] #,##0.00_);[Red]([$GBP] #,##0.00)"/>
  </numFmts>
  <fonts count="14">
    <font>
      <name val="Calibri"/>
      <family val="2"/>
      <color theme="1"/>
      <sz val="11"/>
      <scheme val="minor"/>
    </font>
    <font>
      <name val="Century Gothic"/>
      <family val="2"/>
      <color rgb="FF000000"/>
      <sz val="11"/>
    </font>
    <font>
      <name val="Century Gothic"/>
      <family val="2"/>
      <sz val="11"/>
    </font>
    <font>
      <name val="Aptos Narrow"/>
      <family val="2"/>
      <color theme="1"/>
      <sz val="11"/>
      <scheme val="minor"/>
    </font>
    <font>
      <name val="Century Gothic"/>
      <family val="2"/>
      <b val="1"/>
      <color rgb="FF3A3838"/>
      <sz val="16"/>
    </font>
    <font>
      <name val="Century Gothic"/>
      <family val="2"/>
      <sz val="12"/>
    </font>
    <font>
      <name val="Century Gothic"/>
      <family val="2"/>
      <b val="1"/>
      <color rgb="FF3A3838"/>
      <sz val="11"/>
    </font>
    <font>
      <name val="Century Gothic"/>
      <family val="2"/>
      <color rgb="FF3A3838"/>
      <sz val="11"/>
    </font>
    <font>
      <name val="Century Gothic"/>
      <family val="2"/>
      <b val="1"/>
      <sz val="11"/>
    </font>
    <font>
      <name val="Century Gothic"/>
      <family val="2"/>
      <b val="1"/>
      <color rgb="FFFFFFFF"/>
      <sz val="10"/>
    </font>
    <font>
      <name val="Century Gothic"/>
      <family val="2"/>
      <color rgb="FF000000"/>
      <sz val="10"/>
    </font>
    <font>
      <name val="Century Gothic"/>
      <family val="2"/>
      <color rgb="FFFFFFFF"/>
      <sz val="11"/>
    </font>
    <font>
      <name val="Century Gothic"/>
      <family val="2"/>
      <b val="1"/>
      <color rgb="FFFFFFFF"/>
      <sz val="11"/>
    </font>
    <font>
      <name val="Century Gothic"/>
      <family val="2"/>
      <b val="1"/>
      <i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2C8395"/>
        <bgColor rgb="FF000000"/>
      </patternFill>
    </fill>
    <fill>
      <patternFill patternType="solid">
        <fgColor rgb="FFBFBFBF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CCE0D2"/>
      </bottom>
      <diagonal/>
    </border>
    <border>
      <left style="thin">
        <color rgb="FFD9D9D9"/>
      </left>
      <right style="thin">
        <color rgb="FFD9D9D9"/>
      </right>
      <top style="thick">
        <color rgb="FFCCE0D2"/>
      </top>
      <bottom style="thick">
        <color rgb="FFCCE0D2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ck">
        <color rgb="FFCCE0D2"/>
      </bottom>
      <diagonal/>
    </border>
    <border>
      <left style="thin">
        <color rgb="FFD9D9D9"/>
      </left>
      <right/>
      <top style="thick">
        <color rgb="FFCCE0D2"/>
      </top>
      <bottom style="thin">
        <color rgb="FFD9D9D9"/>
      </bottom>
      <diagonal/>
    </border>
    <border>
      <left/>
      <right/>
      <top style="thick">
        <color rgb="FFCCE0D2"/>
      </top>
      <bottom style="thin">
        <color rgb="FFD9D9D9"/>
      </bottom>
      <diagonal/>
    </border>
    <border>
      <left/>
      <right style="thin">
        <color rgb="FFD9D9D9"/>
      </right>
      <top style="thick">
        <color rgb="FFCCE0D2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ck">
        <color rgb="FFCCE0D2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3" borderId="0" pivotButton="0" quotePrefix="0" xfId="0"/>
    <xf numFmtId="0" fontId="6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/>
    </xf>
    <xf numFmtId="0" fontId="7" fillId="3" borderId="0" pivotButton="0" quotePrefix="0" xfId="0"/>
    <xf numFmtId="164" fontId="7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left"/>
    </xf>
    <xf numFmtId="0" fontId="9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0" fontId="10" fillId="2" borderId="2" applyAlignment="1" pivotButton="0" quotePrefix="0" xfId="0">
      <alignment vertical="top" wrapText="1"/>
    </xf>
    <xf numFmtId="0" fontId="10" fillId="2" borderId="3" applyAlignment="1" pivotButton="0" quotePrefix="0" xfId="0">
      <alignment vertical="center" wrapText="1"/>
    </xf>
    <xf numFmtId="0" fontId="2" fillId="2" borderId="3" applyAlignment="1" pivotButton="0" quotePrefix="0" xfId="0">
      <alignment horizontal="center" vertical="center"/>
    </xf>
    <xf numFmtId="166" fontId="1" fillId="2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5" pivotButton="0" quotePrefix="0" xfId="0"/>
    <xf numFmtId="0" fontId="11" fillId="5" borderId="6" applyAlignment="1" pivotButton="0" quotePrefix="0" xfId="0">
      <alignment horizontal="center"/>
    </xf>
    <xf numFmtId="0" fontId="11" fillId="5" borderId="7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/>
    </xf>
    <xf numFmtId="0" fontId="12" fillId="5" borderId="8" applyAlignment="1" pivotButton="0" quotePrefix="0" xfId="0">
      <alignment horizontal="center"/>
    </xf>
    <xf numFmtId="166" fontId="1" fillId="2" borderId="9" applyAlignment="1" pivotButton="0" quotePrefix="0" xfId="0">
      <alignment horizontal="center"/>
    </xf>
    <xf numFmtId="0" fontId="13" fillId="4" borderId="0" pivotButton="0" quotePrefix="0" xfId="0"/>
    <xf numFmtId="0" fontId="1" fillId="0" borderId="0" pivotButton="0" quotePrefix="0" xfId="0"/>
    <xf numFmtId="165" fontId="1" fillId="2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32.81640625" customWidth="1" min="2" max="2"/>
    <col width="50.81640625" customWidth="1" min="3" max="3"/>
    <col width="21" customWidth="1" min="4" max="4"/>
    <col width="21.08984375" customWidth="1" min="5" max="5"/>
    <col width="20.81640625" bestFit="1" customWidth="1" min="6" max="6"/>
    <col width="13.1796875" customWidth="1" min="7" max="7"/>
    <col width="16.1796875" customWidth="1" min="8" max="8"/>
  </cols>
  <sheetData>
    <row r="1">
      <c r="A1" s="1" t="n"/>
      <c r="B1" s="2" t="n"/>
      <c r="C1" s="2" t="n"/>
      <c r="D1" s="1" t="n"/>
      <c r="E1" s="2" t="inlineStr">
        <is>
          <t>Payment Terms</t>
        </is>
      </c>
      <c r="F1" s="2" t="inlineStr">
        <is>
          <t>30 days</t>
        </is>
      </c>
      <c r="J1" s="3" t="n"/>
    </row>
    <row r="2" ht="19.5" customHeight="1">
      <c r="A2" s="1" t="n"/>
      <c r="B2" s="4" t="inlineStr">
        <is>
          <t>Howden</t>
        </is>
      </c>
      <c r="C2" s="5" t="n"/>
      <c r="D2" s="1" t="n"/>
      <c r="E2" s="6" t="inlineStr">
        <is>
          <t xml:space="preserve">Instruction number </t>
        </is>
      </c>
      <c r="F2" s="7" t="inlineStr">
        <is>
          <t>ABC-1</t>
        </is>
      </c>
      <c r="J2" s="3" t="n"/>
    </row>
    <row r="3">
      <c r="A3" s="1" t="n"/>
      <c r="B3" s="7" t="inlineStr">
        <is>
          <t>Currency</t>
        </is>
      </c>
      <c r="C3" s="8" t="inlineStr">
        <is>
          <t>GBP</t>
        </is>
      </c>
      <c r="D3" s="1" t="n"/>
      <c r="E3" s="6" t="inlineStr">
        <is>
          <t>Previous Bill Date</t>
        </is>
      </c>
      <c r="F3" s="9" t="inlineStr">
        <is>
          <t>30/09/2025</t>
        </is>
      </c>
      <c r="J3" s="3" t="n"/>
    </row>
    <row r="4">
      <c r="A4" s="1" t="n"/>
      <c r="B4" s="7" t="inlineStr">
        <is>
          <t>Exchange Rate</t>
        </is>
      </c>
      <c r="C4" s="7" t="n">
        <v>1</v>
      </c>
      <c r="D4" s="1" t="n"/>
      <c r="E4" s="10" t="inlineStr">
        <is>
          <t xml:space="preserve">Next Bill Date </t>
        </is>
      </c>
      <c r="F4" s="9" t="inlineStr">
        <is>
          <t>30/06/2026</t>
        </is>
      </c>
      <c r="J4" s="3" t="n"/>
    </row>
    <row r="5">
      <c r="A5" s="1" t="n"/>
      <c r="B5" s="10" t="inlineStr">
        <is>
          <t>Billing Period</t>
        </is>
      </c>
      <c r="C5" s="7" t="inlineStr">
        <is>
          <t>01 October 2025 - 31 March 2026</t>
        </is>
      </c>
      <c r="D5" s="1" t="n"/>
      <c r="E5" s="7" t="inlineStr">
        <is>
          <t>Scope</t>
        </is>
      </c>
      <c r="F5" s="7" t="inlineStr">
        <is>
          <t>UK &amp; Ireland</t>
        </is>
      </c>
      <c r="J5" s="3" t="n"/>
    </row>
    <row r="6">
      <c r="A6" s="1" t="n"/>
      <c r="B6" s="7" t="inlineStr">
        <is>
          <t>Billing Frequency</t>
        </is>
      </c>
      <c r="C6" s="8" t="inlineStr">
        <is>
          <t>Quarterly in arrears</t>
        </is>
      </c>
      <c r="D6" s="1" t="n"/>
      <c r="E6" s="7" t="inlineStr">
        <is>
          <t>VAT applied?</t>
        </is>
      </c>
      <c r="F6" s="7" t="inlineStr">
        <is>
          <t>Yes</t>
        </is>
      </c>
      <c r="J6" s="3" t="n"/>
    </row>
    <row r="7">
      <c r="A7" s="1" t="n"/>
      <c r="B7" s="11" t="inlineStr">
        <is>
          <t xml:space="preserve">Client PO Number </t>
        </is>
      </c>
      <c r="C7" s="7" t="inlineStr">
        <is>
          <t>PO123</t>
        </is>
      </c>
      <c r="D7" s="1" t="n"/>
      <c r="E7" s="11" t="inlineStr">
        <is>
          <t>Person to be billed</t>
        </is>
      </c>
      <c r="F7" s="7" t="inlineStr">
        <is>
          <t>Lisa Deehan</t>
        </is>
      </c>
      <c r="J7" s="3" t="n"/>
    </row>
    <row r="8"/>
    <row r="9"/>
    <row r="10" ht="25.5" customHeight="1">
      <c r="B10" s="12" t="inlineStr">
        <is>
          <t>Notes</t>
        </is>
      </c>
      <c r="C10" s="12" t="inlineStr">
        <is>
          <t>Database Management Fee</t>
        </is>
      </c>
      <c r="D10" s="13" t="inlineStr">
        <is>
          <t>Number of Contracts</t>
        </is>
      </c>
      <c r="E10" s="13" t="inlineStr">
        <is>
          <t>Annual Charge Per Contract (GBP)</t>
        </is>
      </c>
      <c r="F10" s="13" t="inlineStr">
        <is>
          <t>Net Fee For Period</t>
        </is>
      </c>
      <c r="G10" s="13" t="inlineStr">
        <is>
          <t>VAT @ 20%</t>
        </is>
      </c>
      <c r="H10" s="14" t="inlineStr">
        <is>
          <t>Total Fee (GBP)</t>
        </is>
      </c>
    </row>
    <row r="11" ht="15" customHeight="1">
      <c r="B11" s="15" t="inlineStr">
        <is>
          <t>Cost of MRI PLE Database increases by £750.00 p/a per 50 leased locations / owned sites</t>
        </is>
      </c>
      <c r="C11" s="16" t="inlineStr">
        <is>
          <t>Charged @ 200.00 GBP per lease / p.a</t>
        </is>
      </c>
      <c r="D11" s="17" t="n">
        <v>316</v>
      </c>
      <c r="E11" s="18" t="n">
        <v>200</v>
      </c>
      <c r="F11" s="19" t="n">
        <v>31513.42465753425</v>
      </c>
      <c r="G11" s="18">
        <f>F11*20%</f>
        <v/>
      </c>
      <c r="H11" s="18">
        <f>F11+G11</f>
        <v/>
      </c>
    </row>
    <row r="12">
      <c r="B12" s="20" t="n"/>
      <c r="C12" s="16" t="inlineStr">
        <is>
          <t>Annual MRI ProLease Enterprise Database fee</t>
        </is>
      </c>
      <c r="D12" s="17" t="n">
        <v>316</v>
      </c>
      <c r="E12" s="21" t="inlineStr">
        <is>
          <t>n/a</t>
        </is>
      </c>
      <c r="F12" s="18" t="n">
        <v>0</v>
      </c>
      <c r="G12" s="18" t="n">
        <v>0</v>
      </c>
      <c r="H12" s="18">
        <f>F12+G12</f>
        <v/>
      </c>
    </row>
    <row r="13" ht="15" customHeight="1">
      <c r="B13" s="22" t="n"/>
      <c r="C13" s="16" t="inlineStr">
        <is>
          <t>Full reporting package</t>
        </is>
      </c>
      <c r="D13" s="17" t="n">
        <v>316</v>
      </c>
      <c r="E13" s="21" t="n">
        <v>0</v>
      </c>
      <c r="F13" s="18" t="n">
        <v>0</v>
      </c>
      <c r="G13" s="18" t="n">
        <v>0</v>
      </c>
      <c r="H13" s="18">
        <f>F13+G13</f>
        <v/>
      </c>
    </row>
    <row r="14" ht="15" customHeight="1">
      <c r="B14" s="23" t="n"/>
      <c r="C14" s="24" t="n"/>
      <c r="D14" s="25" t="n"/>
      <c r="E14" s="26" t="inlineStr">
        <is>
          <t>Total</t>
        </is>
      </c>
      <c r="F14" s="27">
        <f>SUM(F11:F13)</f>
        <v/>
      </c>
      <c r="G14" s="27">
        <f>SUM(G11:G13)</f>
        <v/>
      </c>
      <c r="H14" s="27">
        <f>SUM(H11:H13)</f>
        <v/>
      </c>
    </row>
    <row r="15"/>
    <row r="16">
      <c r="A16" s="1" t="n"/>
      <c r="B16" s="28" t="inlineStr">
        <is>
          <t>New Abstractions Completed</t>
        </is>
      </c>
      <c r="C16" s="29" t="n"/>
      <c r="D16" s="1" t="n"/>
      <c r="E16" s="1" t="n"/>
      <c r="F16" s="1" t="n"/>
      <c r="G16" s="1" t="n"/>
      <c r="H16" s="30" t="n"/>
    </row>
    <row r="17" ht="25.5" customHeight="1">
      <c r="A17" s="1" t="n"/>
      <c r="B17" s="12" t="inlineStr">
        <is>
          <t>System ID</t>
        </is>
      </c>
      <c r="C17" s="12" t="inlineStr">
        <is>
          <t>Property Name</t>
        </is>
      </c>
      <c r="D17" s="13" t="inlineStr">
        <is>
          <t>Number of Contracts</t>
        </is>
      </c>
      <c r="E17" s="13" t="inlineStr">
        <is>
          <t>Charge Per Contract (GBP)</t>
        </is>
      </c>
      <c r="F17" s="13" t="inlineStr">
        <is>
          <t>Net Fee</t>
        </is>
      </c>
      <c r="G17" s="13" t="inlineStr">
        <is>
          <t>VAT @ 20%</t>
        </is>
      </c>
      <c r="H17" s="14" t="inlineStr">
        <is>
          <t>Total Fee (GBP)</t>
        </is>
      </c>
    </row>
    <row r="18" ht="15" customHeight="1">
      <c r="B18" t="inlineStr">
        <is>
          <t>24003477</t>
        </is>
      </c>
      <c r="C18" t="inlineStr">
        <is>
          <t>Ferris House</t>
        </is>
      </c>
      <c r="D18" t="n">
        <v>1</v>
      </c>
      <c r="E18" s="31">
        <f>$E$11</f>
        <v/>
      </c>
      <c r="F18" s="31">
        <f>D18*E18</f>
        <v/>
      </c>
      <c r="G18" s="31">
        <f>F18*0.2</f>
        <v/>
      </c>
      <c r="H18" s="31">
        <f>F18+G18</f>
        <v/>
      </c>
    </row>
    <row r="19">
      <c r="B19" t="inlineStr">
        <is>
          <t>24003478</t>
        </is>
      </c>
      <c r="C19" t="inlineStr">
        <is>
          <t>Generator Building</t>
        </is>
      </c>
      <c r="D19" t="n">
        <v>1</v>
      </c>
      <c r="E19" s="31">
        <f>$E$11</f>
        <v/>
      </c>
      <c r="F19" s="31">
        <f>D19*E19</f>
        <v/>
      </c>
      <c r="G19" s="31">
        <f>F19*0.2</f>
        <v/>
      </c>
      <c r="H19" s="31">
        <f>F19+G19</f>
        <v/>
      </c>
    </row>
    <row r="20">
      <c r="B20" t="inlineStr">
        <is>
          <t>24003577</t>
        </is>
      </c>
      <c r="C20" t="inlineStr">
        <is>
          <t>Florence House</t>
        </is>
      </c>
      <c r="D20" t="n">
        <v>1</v>
      </c>
      <c r="E20" s="31">
        <f>$E$11</f>
        <v/>
      </c>
      <c r="F20" s="31">
        <f>D20*E20</f>
        <v/>
      </c>
      <c r="G20" s="31">
        <f>F20*0.2</f>
        <v/>
      </c>
      <c r="H20" s="31">
        <f>F20+G20</f>
        <v/>
      </c>
    </row>
    <row r="21">
      <c r="B21" t="inlineStr">
        <is>
          <t>24003578</t>
        </is>
      </c>
      <c r="C21" t="inlineStr">
        <is>
          <t>The Axis Building</t>
        </is>
      </c>
      <c r="D21" t="n">
        <v>1</v>
      </c>
      <c r="E21" s="31">
        <f>$E$11</f>
        <v/>
      </c>
      <c r="F21" s="31">
        <f>D21*E21</f>
        <v/>
      </c>
      <c r="G21" s="31">
        <f>F21*0.2</f>
        <v/>
      </c>
      <c r="H21" s="31">
        <f>F21+G21</f>
        <v/>
      </c>
    </row>
    <row r="22">
      <c r="B22" t="inlineStr">
        <is>
          <t>24003579</t>
        </is>
      </c>
      <c r="C22" t="inlineStr">
        <is>
          <t>Haatch Desks, The Avenue</t>
        </is>
      </c>
      <c r="D22" t="n">
        <v>1</v>
      </c>
      <c r="E22" s="31">
        <f>$E$11</f>
        <v/>
      </c>
      <c r="F22" s="31">
        <f>D22*E22</f>
        <v/>
      </c>
      <c r="G22" s="31">
        <f>F22*0.2</f>
        <v/>
      </c>
      <c r="H22" s="31">
        <f>F22+G22</f>
        <v/>
      </c>
    </row>
    <row r="23">
      <c r="B23" t="inlineStr">
        <is>
          <t>24003586</t>
        </is>
      </c>
      <c r="C23" t="inlineStr">
        <is>
          <t>Blackfriars</t>
        </is>
      </c>
      <c r="D23" t="n">
        <v>1</v>
      </c>
      <c r="E23" s="31">
        <f>$E$11</f>
        <v/>
      </c>
      <c r="F23" s="31">
        <f>D23*E23</f>
        <v/>
      </c>
      <c r="G23" s="31">
        <f>F23*0.2</f>
        <v/>
      </c>
      <c r="H23" s="31">
        <f>F23+G23</f>
        <v/>
      </c>
    </row>
    <row r="24">
      <c r="B24" t="inlineStr">
        <is>
          <t>24003641</t>
        </is>
      </c>
      <c r="C24" t="inlineStr">
        <is>
          <t>The Courtyard</t>
        </is>
      </c>
      <c r="D24" t="n">
        <v>1</v>
      </c>
      <c r="E24" s="31">
        <f>$E$11</f>
        <v/>
      </c>
      <c r="F24" s="31">
        <f>D24*E24</f>
        <v/>
      </c>
      <c r="G24" s="31">
        <f>F24*0.2</f>
        <v/>
      </c>
      <c r="H24" s="31">
        <f>F24+G24</f>
        <v/>
      </c>
    </row>
    <row r="25">
      <c r="B25" t="inlineStr">
        <is>
          <t>24003763</t>
        </is>
      </c>
      <c r="C25" t="inlineStr">
        <is>
          <t>Regus Winnersh Triangle</t>
        </is>
      </c>
      <c r="D25" t="n">
        <v>1</v>
      </c>
      <c r="E25" s="31">
        <f>$E$11</f>
        <v/>
      </c>
      <c r="F25" s="31">
        <f>D25*E25</f>
        <v/>
      </c>
      <c r="G25" s="31">
        <f>F25*0.2</f>
        <v/>
      </c>
      <c r="H25" s="31">
        <f>F25+G25</f>
        <v/>
      </c>
    </row>
    <row r="26">
      <c r="B26" t="inlineStr">
        <is>
          <t>24003787</t>
        </is>
      </c>
      <c r="C26" t="inlineStr">
        <is>
          <t>11 Madoc Street</t>
        </is>
      </c>
      <c r="D26" t="n">
        <v>1</v>
      </c>
      <c r="E26" s="31">
        <f>$E$11</f>
        <v/>
      </c>
      <c r="F26" s="31">
        <f>D26*E26</f>
        <v/>
      </c>
      <c r="G26" s="31">
        <f>F26*0.2</f>
        <v/>
      </c>
      <c r="H26" s="31">
        <f>F26+G26</f>
        <v/>
      </c>
    </row>
    <row r="27">
      <c r="B27" t="inlineStr">
        <is>
          <t>24003788</t>
        </is>
      </c>
      <c r="C27" t="inlineStr">
        <is>
          <t>9 Madoc Street</t>
        </is>
      </c>
      <c r="D27" t="n">
        <v>1</v>
      </c>
      <c r="E27" s="31">
        <f>$E$11</f>
        <v/>
      </c>
      <c r="F27" s="31">
        <f>D27*E27</f>
        <v/>
      </c>
      <c r="G27" s="31">
        <f>F27*0.2</f>
        <v/>
      </c>
      <c r="H27" s="31">
        <f>F27+G27</f>
        <v/>
      </c>
    </row>
    <row r="28">
      <c r="B28" t="inlineStr">
        <is>
          <t>24003811</t>
        </is>
      </c>
      <c r="C28" t="inlineStr">
        <is>
          <t>14 Hanover Square</t>
        </is>
      </c>
      <c r="D28" t="n">
        <v>1</v>
      </c>
      <c r="E28" s="31">
        <f>$E$11</f>
        <v/>
      </c>
      <c r="F28" s="31">
        <f>D28*E28</f>
        <v/>
      </c>
      <c r="G28" s="31">
        <f>F28*0.2</f>
        <v/>
      </c>
      <c r="H28" s="31">
        <f>F28+G28</f>
        <v/>
      </c>
    </row>
    <row r="29">
      <c r="B29" t="inlineStr">
        <is>
          <t>24003812</t>
        </is>
      </c>
      <c r="C29" t="inlineStr">
        <is>
          <t>Stanlaw Abbey Business Centre</t>
        </is>
      </c>
      <c r="D29" t="n">
        <v>1</v>
      </c>
      <c r="E29" s="31">
        <f>$E$11</f>
        <v/>
      </c>
      <c r="F29" s="31">
        <f>D29*E29</f>
        <v/>
      </c>
      <c r="G29" s="31">
        <f>F29*0.2</f>
        <v/>
      </c>
      <c r="H29" s="31">
        <f>F29+G29</f>
        <v/>
      </c>
    </row>
    <row r="30">
      <c r="B30" t="inlineStr">
        <is>
          <t>24003813</t>
        </is>
      </c>
      <c r="C30" t="inlineStr">
        <is>
          <t>Park House</t>
        </is>
      </c>
      <c r="D30" t="n">
        <v>1</v>
      </c>
      <c r="E30" s="31">
        <f>$E$11</f>
        <v/>
      </c>
      <c r="F30" s="31">
        <f>D30*E30</f>
        <v/>
      </c>
      <c r="G30" s="31">
        <f>F30*0.2</f>
        <v/>
      </c>
      <c r="H30" s="31">
        <f>F30+G30</f>
        <v/>
      </c>
    </row>
    <row r="31">
      <c r="B31" t="inlineStr">
        <is>
          <t>24003834</t>
        </is>
      </c>
      <c r="C31" t="inlineStr">
        <is>
          <t>Global Reach, Celtic Gateway Business Park</t>
        </is>
      </c>
      <c r="D31" t="n">
        <v>1</v>
      </c>
      <c r="E31" s="31">
        <f>$E$11</f>
        <v/>
      </c>
      <c r="F31" s="31">
        <f>D31*E31</f>
        <v/>
      </c>
      <c r="G31" s="31">
        <f>F31*0.2</f>
        <v/>
      </c>
      <c r="H31" s="31">
        <f>F31+G31</f>
        <v/>
      </c>
    </row>
    <row r="32">
      <c r="B32" t="inlineStr">
        <is>
          <t>24003837</t>
        </is>
      </c>
      <c r="C32" t="inlineStr">
        <is>
          <t>Unity Chambers</t>
        </is>
      </c>
      <c r="D32" t="n">
        <v>1</v>
      </c>
      <c r="E32" s="31">
        <f>$E$11</f>
        <v/>
      </c>
      <c r="F32" s="31">
        <f>D32*E32</f>
        <v/>
      </c>
      <c r="G32" s="31">
        <f>F32*0.2</f>
        <v/>
      </c>
      <c r="H32" s="31">
        <f>F32+G32</f>
        <v/>
      </c>
    </row>
    <row r="33">
      <c r="B33" t="inlineStr">
        <is>
          <t>24003842</t>
        </is>
      </c>
      <c r="C33" t="inlineStr">
        <is>
          <t>Sussex Innovation Centre</t>
        </is>
      </c>
      <c r="D33" t="n">
        <v>1</v>
      </c>
      <c r="E33" s="31">
        <f>$E$11</f>
        <v/>
      </c>
      <c r="F33" s="31">
        <f>D33*E33</f>
        <v/>
      </c>
      <c r="G33" s="31">
        <f>F33*0.2</f>
        <v/>
      </c>
      <c r="H33" s="31">
        <f>F33+G33</f>
        <v/>
      </c>
    </row>
    <row r="34">
      <c r="B34" t="inlineStr">
        <is>
          <t>24003843</t>
        </is>
      </c>
      <c r="C34" t="inlineStr">
        <is>
          <t>Dale Close</t>
        </is>
      </c>
      <c r="D34" t="n">
        <v>1</v>
      </c>
      <c r="E34" s="31">
        <f>$E$11</f>
        <v/>
      </c>
      <c r="F34" s="31">
        <f>D34*E34</f>
        <v/>
      </c>
      <c r="G34" s="31">
        <f>F34*0.2</f>
        <v/>
      </c>
      <c r="H34" s="31">
        <f>F34+G34</f>
        <v/>
      </c>
    </row>
    <row r="35">
      <c r="B35" t="inlineStr">
        <is>
          <t>24003845</t>
        </is>
      </c>
      <c r="C35" t="inlineStr">
        <is>
          <t>One Creechurch Place</t>
        </is>
      </c>
      <c r="D35" t="n">
        <v>1</v>
      </c>
      <c r="E35" s="31">
        <f>$E$11</f>
        <v/>
      </c>
      <c r="F35" s="31">
        <f>D35*E35</f>
        <v/>
      </c>
      <c r="G35" s="31">
        <f>F35*0.2</f>
        <v/>
      </c>
      <c r="H35" s="31">
        <f>F35+G35</f>
        <v/>
      </c>
    </row>
    <row r="36">
      <c r="B36" t="inlineStr">
        <is>
          <t>24003847</t>
        </is>
      </c>
      <c r="C36" t="inlineStr">
        <is>
          <t>One Creechurch Place</t>
        </is>
      </c>
      <c r="D36" t="n">
        <v>1</v>
      </c>
      <c r="E36" s="31">
        <f>$E$11</f>
        <v/>
      </c>
      <c r="F36" s="31">
        <f>D36*E36</f>
        <v/>
      </c>
      <c r="G36" s="31">
        <f>F36*0.2</f>
        <v/>
      </c>
      <c r="H36" s="31">
        <f>F36+G36</f>
        <v/>
      </c>
    </row>
    <row r="37">
      <c r="B37" t="inlineStr">
        <is>
          <t>24003848</t>
        </is>
      </c>
      <c r="C37" t="inlineStr">
        <is>
          <t>One Creechurch Place</t>
        </is>
      </c>
      <c r="D37" t="n">
        <v>1</v>
      </c>
      <c r="E37" s="31">
        <f>$E$11</f>
        <v/>
      </c>
      <c r="F37" s="31">
        <f>D37*E37</f>
        <v/>
      </c>
      <c r="G37" s="31">
        <f>F37*0.2</f>
        <v/>
      </c>
      <c r="H37" s="31">
        <f>F37+G37</f>
        <v/>
      </c>
    </row>
    <row r="38">
      <c r="B38" t="inlineStr">
        <is>
          <t>24003849</t>
        </is>
      </c>
      <c r="C38" t="inlineStr">
        <is>
          <t>10A Gateside Street</t>
        </is>
      </c>
      <c r="D38" t="n">
        <v>1</v>
      </c>
      <c r="E38" s="31">
        <f>$E$11</f>
        <v/>
      </c>
      <c r="F38" s="31">
        <f>D38*E38</f>
        <v/>
      </c>
      <c r="G38" s="31">
        <f>F38*0.2</f>
        <v/>
      </c>
      <c r="H38" s="31">
        <f>F38+G38</f>
        <v/>
      </c>
    </row>
    <row r="39">
      <c r="B39" t="inlineStr">
        <is>
          <t>24003873</t>
        </is>
      </c>
      <c r="C39" t="inlineStr">
        <is>
          <t>One Creechurch Place</t>
        </is>
      </c>
      <c r="D39" t="n">
        <v>1</v>
      </c>
      <c r="E39" s="31">
        <f>$E$11</f>
        <v/>
      </c>
      <c r="F39" s="31">
        <f>D39*E39</f>
        <v/>
      </c>
      <c r="G39" s="31">
        <f>F39*0.2</f>
        <v/>
      </c>
      <c r="H39" s="31">
        <f>F39+G39</f>
        <v/>
      </c>
    </row>
    <row r="40">
      <c r="B40" t="inlineStr">
        <is>
          <t>24003874</t>
        </is>
      </c>
      <c r="C40" t="inlineStr">
        <is>
          <t>One Creechurch Place</t>
        </is>
      </c>
      <c r="D40" t="n">
        <v>1</v>
      </c>
      <c r="E40" s="31">
        <f>$E$11</f>
        <v/>
      </c>
      <c r="F40" s="31">
        <f>D40*E40</f>
        <v/>
      </c>
      <c r="G40" s="31">
        <f>F40*0.2</f>
        <v/>
      </c>
      <c r="H40" s="31">
        <f>F40+G40</f>
        <v/>
      </c>
    </row>
    <row r="41">
      <c r="B41" t="inlineStr">
        <is>
          <t>24003875</t>
        </is>
      </c>
      <c r="C41" t="inlineStr">
        <is>
          <t>One Creechurch Place</t>
        </is>
      </c>
      <c r="D41" t="n">
        <v>1</v>
      </c>
      <c r="E41" s="31">
        <f>$E$11</f>
        <v/>
      </c>
      <c r="F41" s="31">
        <f>D41*E41</f>
        <v/>
      </c>
      <c r="G41" s="31">
        <f>F41*0.2</f>
        <v/>
      </c>
      <c r="H41" s="31">
        <f>F41+G41</f>
        <v/>
      </c>
    </row>
    <row r="42">
      <c r="B42" t="inlineStr">
        <is>
          <t>24003876</t>
        </is>
      </c>
      <c r="C42" t="inlineStr">
        <is>
          <t>One Creechurch Place</t>
        </is>
      </c>
      <c r="D42" t="n">
        <v>1</v>
      </c>
      <c r="E42" s="31">
        <f>$E$11</f>
        <v/>
      </c>
      <c r="F42" s="31">
        <f>D42*E42</f>
        <v/>
      </c>
      <c r="G42" s="31">
        <f>F42*0.2</f>
        <v/>
      </c>
      <c r="H42" s="31">
        <f>F42+G42</f>
        <v/>
      </c>
    </row>
    <row r="43">
      <c r="B43" t="inlineStr">
        <is>
          <t>24003877</t>
        </is>
      </c>
      <c r="C43" t="inlineStr">
        <is>
          <t>One Creechurch Place</t>
        </is>
      </c>
      <c r="D43" t="n">
        <v>1</v>
      </c>
      <c r="E43" s="31">
        <f>$E$11</f>
        <v/>
      </c>
      <c r="F43" s="31">
        <f>D43*E43</f>
        <v/>
      </c>
      <c r="G43" s="31">
        <f>F43*0.2</f>
        <v/>
      </c>
      <c r="H43" s="31">
        <f>F43+G43</f>
        <v/>
      </c>
    </row>
    <row r="44">
      <c r="B44" t="inlineStr">
        <is>
          <t>24003878</t>
        </is>
      </c>
      <c r="C44" t="inlineStr">
        <is>
          <t>One Creechurch Place</t>
        </is>
      </c>
      <c r="D44" t="n">
        <v>1</v>
      </c>
      <c r="E44" s="31">
        <f>$E$11</f>
        <v/>
      </c>
      <c r="F44" s="31">
        <f>D44*E44</f>
        <v/>
      </c>
      <c r="G44" s="31">
        <f>F44*0.2</f>
        <v/>
      </c>
      <c r="H44" s="31">
        <f>F44+G44</f>
        <v/>
      </c>
    </row>
    <row r="45">
      <c r="B45" t="inlineStr">
        <is>
          <t>24003879</t>
        </is>
      </c>
      <c r="C45" t="inlineStr">
        <is>
          <t>One Creechurch Place</t>
        </is>
      </c>
      <c r="D45" t="n">
        <v>1</v>
      </c>
      <c r="E45" s="31">
        <f>$E$11</f>
        <v/>
      </c>
      <c r="F45" s="31">
        <f>D45*E45</f>
        <v/>
      </c>
      <c r="G45" s="31">
        <f>F45*0.2</f>
        <v/>
      </c>
      <c r="H45" s="31">
        <f>F45+G45</f>
        <v/>
      </c>
    </row>
    <row r="46">
      <c r="B46" t="inlineStr">
        <is>
          <t>24003880</t>
        </is>
      </c>
      <c r="C46" t="inlineStr">
        <is>
          <t>One Creechurch Place</t>
        </is>
      </c>
      <c r="D46" t="n">
        <v>1</v>
      </c>
      <c r="E46" s="31">
        <f>$E$11</f>
        <v/>
      </c>
      <c r="F46" s="31">
        <f>D46*E46</f>
        <v/>
      </c>
      <c r="G46" s="31">
        <f>F46*0.2</f>
        <v/>
      </c>
      <c r="H46" s="31">
        <f>F46+G46</f>
        <v/>
      </c>
    </row>
    <row r="47">
      <c r="B47" t="inlineStr">
        <is>
          <t>24003881</t>
        </is>
      </c>
      <c r="C47" t="inlineStr">
        <is>
          <t>One Creechurch Place</t>
        </is>
      </c>
      <c r="D47" t="n">
        <v>1</v>
      </c>
      <c r="E47" s="31">
        <f>$E$11</f>
        <v/>
      </c>
      <c r="F47" s="31">
        <f>D47*E47</f>
        <v/>
      </c>
      <c r="G47" s="31">
        <f>F47*0.2</f>
        <v/>
      </c>
      <c r="H47" s="31">
        <f>F47+G47</f>
        <v/>
      </c>
    </row>
    <row r="48">
      <c r="B48" t="inlineStr">
        <is>
          <t>24003882</t>
        </is>
      </c>
      <c r="C48" t="inlineStr">
        <is>
          <t>One Creechurch Place</t>
        </is>
      </c>
      <c r="D48" t="n">
        <v>1</v>
      </c>
      <c r="E48" s="31">
        <f>$E$11</f>
        <v/>
      </c>
      <c r="F48" s="31">
        <f>D48*E48</f>
        <v/>
      </c>
      <c r="G48" s="31">
        <f>F48*0.2</f>
        <v/>
      </c>
      <c r="H48" s="31">
        <f>F48+G48</f>
        <v/>
      </c>
    </row>
    <row r="49">
      <c r="B49" t="inlineStr">
        <is>
          <t>24003883</t>
        </is>
      </c>
      <c r="C49" t="inlineStr">
        <is>
          <t>One Creechurch Place</t>
        </is>
      </c>
      <c r="D49" t="n">
        <v>1</v>
      </c>
      <c r="E49" s="31">
        <f>$E$11</f>
        <v/>
      </c>
      <c r="F49" s="31">
        <f>D49*E49</f>
        <v/>
      </c>
      <c r="G49" s="31">
        <f>F49*0.2</f>
        <v/>
      </c>
      <c r="H49" s="31">
        <f>F49+G49</f>
        <v/>
      </c>
    </row>
    <row r="50">
      <c r="B50" t="inlineStr">
        <is>
          <t>24003917</t>
        </is>
      </c>
      <c r="C50" t="inlineStr">
        <is>
          <t>Yacht Haven Quay</t>
        </is>
      </c>
      <c r="D50" t="n">
        <v>1</v>
      </c>
      <c r="E50" s="31">
        <f>$E$11</f>
        <v/>
      </c>
      <c r="F50" s="31">
        <f>D50*E50</f>
        <v/>
      </c>
      <c r="G50" s="31">
        <f>F50*0.2</f>
        <v/>
      </c>
      <c r="H50" s="31">
        <f>F50+G50</f>
        <v/>
      </c>
    </row>
    <row r="51">
      <c r="B51" t="inlineStr">
        <is>
          <t>24003918</t>
        </is>
      </c>
      <c r="C51" t="inlineStr">
        <is>
          <t>Calder Park</t>
        </is>
      </c>
      <c r="D51" t="n">
        <v>1</v>
      </c>
      <c r="E51" s="31">
        <f>$E$11</f>
        <v/>
      </c>
      <c r="F51" s="31">
        <f>D51*E51</f>
        <v/>
      </c>
      <c r="G51" s="31">
        <f>F51*0.2</f>
        <v/>
      </c>
      <c r="H51" s="31">
        <f>F51+G51</f>
        <v/>
      </c>
    </row>
    <row r="52">
      <c r="B52" t="inlineStr">
        <is>
          <t>24003919</t>
        </is>
      </c>
      <c r="C52" t="inlineStr">
        <is>
          <t>Edinburgh - Lochrin Square</t>
        </is>
      </c>
      <c r="D52" t="n">
        <v>1</v>
      </c>
      <c r="E52" s="31">
        <f>$E$11</f>
        <v/>
      </c>
      <c r="F52" s="31">
        <f>D52*E52</f>
        <v/>
      </c>
      <c r="G52" s="31">
        <f>F52*0.2</f>
        <v/>
      </c>
      <c r="H52" s="31">
        <f>F52+G52</f>
        <v/>
      </c>
    </row>
    <row r="53">
      <c r="B53" t="inlineStr">
        <is>
          <t>24003921</t>
        </is>
      </c>
      <c r="C53" t="inlineStr">
        <is>
          <t>The Aske Stables</t>
        </is>
      </c>
      <c r="D53" t="n">
        <v>1</v>
      </c>
      <c r="E53" s="31">
        <f>$E$11</f>
        <v/>
      </c>
      <c r="F53" s="31">
        <f>D53*E53</f>
        <v/>
      </c>
      <c r="G53" s="31">
        <f>F53*0.2</f>
        <v/>
      </c>
      <c r="H53" s="31">
        <f>F53+G53</f>
        <v/>
      </c>
    </row>
    <row r="54">
      <c r="B54" t="inlineStr">
        <is>
          <t>24003952</t>
        </is>
      </c>
      <c r="C54" t="inlineStr">
        <is>
          <t>Davitt House</t>
        </is>
      </c>
      <c r="D54" t="n">
        <v>1</v>
      </c>
      <c r="E54" s="31">
        <f>$E$11</f>
        <v/>
      </c>
      <c r="F54" s="31">
        <f>D54*E54</f>
        <v/>
      </c>
      <c r="G54" s="31">
        <f>F54*0.2</f>
        <v/>
      </c>
      <c r="H54" s="31">
        <f>F54+G54</f>
        <v/>
      </c>
    </row>
    <row r="55">
      <c r="B55" t="inlineStr">
        <is>
          <t>24003953</t>
        </is>
      </c>
      <c r="C55" t="inlineStr">
        <is>
          <t>37 Carmunnock Road</t>
        </is>
      </c>
      <c r="D55" t="n">
        <v>1</v>
      </c>
      <c r="E55" s="31">
        <f>$E$11</f>
        <v/>
      </c>
      <c r="F55" s="31">
        <f>D55*E55</f>
        <v/>
      </c>
      <c r="G55" s="31">
        <f>F55*0.2</f>
        <v/>
      </c>
      <c r="H55" s="31">
        <f>F55+G55</f>
        <v/>
      </c>
    </row>
    <row r="56">
      <c r="B56" t="inlineStr">
        <is>
          <t>24003954</t>
        </is>
      </c>
      <c r="C56" t="inlineStr">
        <is>
          <t>Part of 12 Stephen Street</t>
        </is>
      </c>
      <c r="D56" t="n">
        <v>1</v>
      </c>
      <c r="E56" s="31">
        <f>$E$11</f>
        <v/>
      </c>
      <c r="F56" s="31">
        <f>D56*E56</f>
        <v/>
      </c>
      <c r="G56" s="31">
        <f>F56*0.2</f>
        <v/>
      </c>
      <c r="H56" s="31">
        <f>F56+G56</f>
        <v/>
      </c>
    </row>
    <row r="57">
      <c r="B57" t="inlineStr">
        <is>
          <t>24004168</t>
        </is>
      </c>
      <c r="C57" t="inlineStr">
        <is>
          <t>133 Houndsditch</t>
        </is>
      </c>
      <c r="D57" t="n">
        <v>1</v>
      </c>
      <c r="E57" s="31">
        <f>$E$11</f>
        <v/>
      </c>
      <c r="F57" s="31">
        <f>D57*E57</f>
        <v/>
      </c>
      <c r="G57" s="31">
        <f>F57*0.2</f>
        <v/>
      </c>
      <c r="H57" s="31">
        <f>F57+G57</f>
        <v/>
      </c>
    </row>
    <row r="58">
      <c r="B58" t="inlineStr">
        <is>
          <t>24004173</t>
        </is>
      </c>
      <c r="C58" t="inlineStr">
        <is>
          <t>The Works, Clavering House</t>
        </is>
      </c>
      <c r="D58" t="n">
        <v>1</v>
      </c>
      <c r="E58" s="31">
        <f>$E$11</f>
        <v/>
      </c>
      <c r="F58" s="31">
        <f>D58*E58</f>
        <v/>
      </c>
      <c r="G58" s="31">
        <f>F58*0.2</f>
        <v/>
      </c>
      <c r="H58" s="31">
        <f>F58+G58</f>
        <v/>
      </c>
    </row>
    <row r="59">
      <c r="B59" t="inlineStr">
        <is>
          <t>24004174</t>
        </is>
      </c>
      <c r="C59" t="inlineStr">
        <is>
          <t>The Brunel</t>
        </is>
      </c>
      <c r="D59" t="n">
        <v>1</v>
      </c>
      <c r="E59" s="31">
        <f>$E$11</f>
        <v/>
      </c>
      <c r="F59" s="31">
        <f>D59*E59</f>
        <v/>
      </c>
      <c r="G59" s="31">
        <f>F59*0.2</f>
        <v/>
      </c>
      <c r="H59" s="31">
        <f>F59+G59</f>
        <v/>
      </c>
    </row>
    <row r="60">
      <c r="B60" t="inlineStr">
        <is>
          <t>24004175</t>
        </is>
      </c>
      <c r="C60" t="inlineStr">
        <is>
          <t>39 London Road</t>
        </is>
      </c>
      <c r="D60" t="n">
        <v>1</v>
      </c>
      <c r="E60" s="31">
        <f>$E$11</f>
        <v/>
      </c>
      <c r="F60" s="31">
        <f>D60*E60</f>
        <v/>
      </c>
      <c r="G60" s="31">
        <f>F60*0.2</f>
        <v/>
      </c>
      <c r="H60" s="31">
        <f>F60+G60</f>
        <v/>
      </c>
    </row>
    <row r="61">
      <c r="B61" t="inlineStr">
        <is>
          <t>24004206</t>
        </is>
      </c>
      <c r="C61" t="inlineStr">
        <is>
          <t>8 High Street</t>
        </is>
      </c>
      <c r="D61" t="n">
        <v>1</v>
      </c>
      <c r="E61" s="31">
        <f>$E$11</f>
        <v/>
      </c>
      <c r="F61" s="31">
        <f>D61*E61</f>
        <v/>
      </c>
      <c r="G61" s="31">
        <f>F61*0.2</f>
        <v/>
      </c>
      <c r="H61" s="31">
        <f>F61+G61</f>
        <v/>
      </c>
    </row>
    <row r="62">
      <c r="B62" t="inlineStr">
        <is>
          <t>24004217</t>
        </is>
      </c>
      <c r="C62" t="inlineStr">
        <is>
          <t>14 Hanover Square</t>
        </is>
      </c>
      <c r="D62" t="n">
        <v>1</v>
      </c>
      <c r="E62" s="31">
        <f>$E$11</f>
        <v/>
      </c>
      <c r="F62" s="31">
        <f>D62*E62</f>
        <v/>
      </c>
      <c r="G62" s="31">
        <f>F62*0.2</f>
        <v/>
      </c>
      <c r="H62" s="31">
        <f>F62+G62</f>
        <v/>
      </c>
    </row>
    <row r="63">
      <c r="B63" t="inlineStr">
        <is>
          <t>24004218</t>
        </is>
      </c>
      <c r="C63" t="inlineStr">
        <is>
          <t>1 to 3 Oastfield Court</t>
        </is>
      </c>
      <c r="D63" t="n">
        <v>1</v>
      </c>
      <c r="E63" s="31">
        <f>$E$11</f>
        <v/>
      </c>
      <c r="F63" s="31">
        <f>D63*E63</f>
        <v/>
      </c>
      <c r="G63" s="31">
        <f>F63*0.2</f>
        <v/>
      </c>
      <c r="H63" s="31">
        <f>F63+G63</f>
        <v/>
      </c>
    </row>
    <row r="64">
      <c r="B64" t="inlineStr">
        <is>
          <t>24004493</t>
        </is>
      </c>
      <c r="C64" t="inlineStr">
        <is>
          <t>Riverbridge House Business Centre</t>
        </is>
      </c>
      <c r="D64" t="n">
        <v>1</v>
      </c>
      <c r="E64" s="31">
        <f>$E$11</f>
        <v/>
      </c>
      <c r="F64" s="31">
        <f>D64*E64</f>
        <v/>
      </c>
      <c r="G64" s="31">
        <f>F64*0.2</f>
        <v/>
      </c>
      <c r="H64" s="31">
        <f>F64+G64</f>
        <v/>
      </c>
    </row>
    <row r="65">
      <c r="B65" t="inlineStr">
        <is>
          <t>24004498</t>
        </is>
      </c>
      <c r="C65" t="inlineStr">
        <is>
          <t>Hadsley House</t>
        </is>
      </c>
      <c r="D65" t="n">
        <v>1</v>
      </c>
      <c r="E65" s="31">
        <f>$E$11</f>
        <v/>
      </c>
      <c r="F65" s="31">
        <f>D65*E65</f>
        <v/>
      </c>
      <c r="G65" s="31">
        <f>F65*0.2</f>
        <v/>
      </c>
      <c r="H65" s="31">
        <f>F65+G65</f>
        <v/>
      </c>
    </row>
    <row r="66">
      <c r="B66" t="inlineStr">
        <is>
          <t>24004499</t>
        </is>
      </c>
      <c r="C66" t="inlineStr">
        <is>
          <t>The Forum</t>
        </is>
      </c>
      <c r="D66" t="n">
        <v>1</v>
      </c>
      <c r="E66" s="31">
        <f>$E$11</f>
        <v/>
      </c>
      <c r="F66" s="31">
        <f>D66*E66</f>
        <v/>
      </c>
      <c r="G66" s="31">
        <f>F66*0.2</f>
        <v/>
      </c>
      <c r="H66" s="31">
        <f>F66+G66</f>
        <v/>
      </c>
    </row>
    <row r="67">
      <c r="B67" t="inlineStr">
        <is>
          <t>18000049</t>
        </is>
      </c>
      <c r="C67" t="inlineStr">
        <is>
          <t>Parliament House</t>
        </is>
      </c>
      <c r="D67" t="n">
        <v>1</v>
      </c>
      <c r="E67" s="31">
        <f>$E$11</f>
        <v/>
      </c>
      <c r="F67" s="31">
        <f>D67*E67</f>
        <v/>
      </c>
      <c r="G67" s="31">
        <f>F67*0.2</f>
        <v/>
      </c>
      <c r="H67" s="31">
        <f>F67+G67</f>
        <v/>
      </c>
    </row>
    <row r="68">
      <c r="B68" t="inlineStr">
        <is>
          <t>18000059</t>
        </is>
      </c>
      <c r="C68" t="inlineStr">
        <is>
          <t>Car Park - 27/08/2025</t>
        </is>
      </c>
      <c r="D68" t="n">
        <v>1</v>
      </c>
      <c r="E68" s="31">
        <f>$E$11</f>
        <v/>
      </c>
      <c r="F68" s="31">
        <f>D68*E68</f>
        <v/>
      </c>
      <c r="G68" s="31">
        <f>F68*0.2</f>
        <v/>
      </c>
      <c r="H68" s="31">
        <f>F68+G68</f>
        <v/>
      </c>
    </row>
    <row r="69">
      <c r="B69" t="inlineStr">
        <is>
          <t>15000874</t>
        </is>
      </c>
      <c r="C69" t="inlineStr">
        <is>
          <t>47a Market Square</t>
        </is>
      </c>
      <c r="D69" t="n">
        <v>1</v>
      </c>
      <c r="E69" s="31">
        <f>$E$11</f>
        <v/>
      </c>
      <c r="F69" s="31">
        <f>D69*E69</f>
        <v/>
      </c>
      <c r="G69" s="31">
        <f>F69*0.2</f>
        <v/>
      </c>
      <c r="H69" s="31">
        <f>F69+G69</f>
        <v/>
      </c>
    </row>
    <row r="70">
      <c r="B70" t="inlineStr">
        <is>
          <t>15000876</t>
        </is>
      </c>
      <c r="C70" t="inlineStr">
        <is>
          <t>90-92 Commercial Road</t>
        </is>
      </c>
      <c r="D70" t="n">
        <v>1</v>
      </c>
      <c r="E70" s="31">
        <f>$E$11</f>
        <v/>
      </c>
      <c r="F70" s="31">
        <f>D70*E70</f>
        <v/>
      </c>
      <c r="G70" s="31">
        <f>F70*0.2</f>
        <v/>
      </c>
      <c r="H70" s="31">
        <f>F70+G70</f>
        <v/>
      </c>
    </row>
    <row r="71">
      <c r="B71" t="inlineStr">
        <is>
          <t>15000877</t>
        </is>
      </c>
      <c r="C71" t="inlineStr">
        <is>
          <t>4-6 Cross Street</t>
        </is>
      </c>
      <c r="D71" t="n">
        <v>1</v>
      </c>
      <c r="E71" s="31">
        <f>$E$11</f>
        <v/>
      </c>
      <c r="F71" s="31">
        <f>D71*E71</f>
        <v/>
      </c>
      <c r="G71" s="31">
        <f>F71*0.2</f>
        <v/>
      </c>
      <c r="H71" s="31">
        <f>F71+G71</f>
        <v/>
      </c>
    </row>
    <row r="72">
      <c r="B72" t="inlineStr">
        <is>
          <t>15000878</t>
        </is>
      </c>
      <c r="C72" t="inlineStr">
        <is>
          <t>6 Vine Street</t>
        </is>
      </c>
      <c r="D72" t="n">
        <v>1</v>
      </c>
      <c r="E72" s="31">
        <f>$E$11</f>
        <v/>
      </c>
      <c r="F72" s="31">
        <f>D72*E72</f>
        <v/>
      </c>
      <c r="G72" s="31">
        <f>F72*0.2</f>
        <v/>
      </c>
      <c r="H72" s="31">
        <f>F72+G72</f>
        <v/>
      </c>
    </row>
    <row r="73">
      <c r="B73" t="inlineStr">
        <is>
          <t>15000879</t>
        </is>
      </c>
      <c r="C73" t="inlineStr">
        <is>
          <t>89 Duke Street</t>
        </is>
      </c>
      <c r="D73" t="n">
        <v>1</v>
      </c>
      <c r="E73" s="31">
        <f>$E$11</f>
        <v/>
      </c>
      <c r="F73" s="31">
        <f>D73*E73</f>
        <v/>
      </c>
      <c r="G73" s="31">
        <f>F73*0.2</f>
        <v/>
      </c>
      <c r="H73" s="31">
        <f>F73+G73</f>
        <v/>
      </c>
    </row>
    <row r="74">
      <c r="B74" t="inlineStr">
        <is>
          <t>15000880</t>
        </is>
      </c>
      <c r="C74" t="inlineStr">
        <is>
          <t>29 Courtenay Street</t>
        </is>
      </c>
      <c r="D74" t="n">
        <v>1</v>
      </c>
      <c r="E74" s="31">
        <f>$E$11</f>
        <v/>
      </c>
      <c r="F74" s="31">
        <f>D74*E74</f>
        <v/>
      </c>
      <c r="G74" s="31">
        <f>F74*0.2</f>
        <v/>
      </c>
      <c r="H74" s="31">
        <f>F74+G74</f>
        <v/>
      </c>
    </row>
    <row r="75">
      <c r="B75" t="inlineStr">
        <is>
          <t>15000881</t>
        </is>
      </c>
      <c r="C75" t="inlineStr">
        <is>
          <t>1543 Stratford Road</t>
        </is>
      </c>
      <c r="D75" t="n">
        <v>1</v>
      </c>
      <c r="E75" s="31">
        <f>$E$11</f>
        <v/>
      </c>
      <c r="F75" s="31">
        <f>D75*E75</f>
        <v/>
      </c>
      <c r="G75" s="31">
        <f>F75*0.2</f>
        <v/>
      </c>
      <c r="H75" s="31">
        <f>F75+G75</f>
        <v/>
      </c>
    </row>
    <row r="76">
      <c r="B76" t="inlineStr">
        <is>
          <t>15000882</t>
        </is>
      </c>
      <c r="C76" t="inlineStr">
        <is>
          <t>44 Northbrook Street</t>
        </is>
      </c>
      <c r="D76" t="n">
        <v>1</v>
      </c>
      <c r="E76" s="31">
        <f>$E$11</f>
        <v/>
      </c>
      <c r="F76" s="31">
        <f>D76*E76</f>
        <v/>
      </c>
      <c r="G76" s="31">
        <f>F76*0.2</f>
        <v/>
      </c>
      <c r="H76" s="31">
        <f>F76+G76</f>
        <v/>
      </c>
    </row>
    <row r="77">
      <c r="B77" t="inlineStr">
        <is>
          <t>15000883</t>
        </is>
      </c>
      <c r="C77" t="inlineStr">
        <is>
          <t>3-5 Main Street</t>
        </is>
      </c>
      <c r="D77" t="n">
        <v>1</v>
      </c>
      <c r="E77" s="31">
        <f>$E$11</f>
        <v/>
      </c>
      <c r="F77" s="31">
        <f>D77*E77</f>
        <v/>
      </c>
      <c r="G77" s="31">
        <f>F77*0.2</f>
        <v/>
      </c>
      <c r="H77" s="31">
        <f>F77+G77</f>
        <v/>
      </c>
    </row>
    <row r="78">
      <c r="D78" t="inlineStr">
        <is>
          <t>Total</t>
        </is>
      </c>
      <c r="F78" s="31">
        <f>SUM(F18:F77)</f>
        <v/>
      </c>
      <c r="G78" s="31">
        <f>SUM(G18:G77)</f>
        <v/>
      </c>
      <c r="H78" s="31">
        <f>SUM(H18:H77)</f>
        <v/>
      </c>
    </row>
    <row r="79"/>
    <row r="80">
      <c r="B80" s="28" t="inlineStr">
        <is>
          <t>New Terminations Completed</t>
        </is>
      </c>
      <c r="C80" s="29" t="n"/>
      <c r="D80" s="1" t="n"/>
      <c r="E80" s="1" t="n"/>
      <c r="F80" s="1" t="n"/>
      <c r="G80" s="1" t="n"/>
      <c r="H80" s="30" t="n"/>
    </row>
    <row r="81">
      <c r="B81" s="12" t="inlineStr">
        <is>
          <t>System ID</t>
        </is>
      </c>
      <c r="C81" s="12" t="inlineStr">
        <is>
          <t>Property Name</t>
        </is>
      </c>
      <c r="D81" s="13" t="inlineStr">
        <is>
          <t>Number of Contracts</t>
        </is>
      </c>
      <c r="E81" s="13" t="inlineStr">
        <is>
          <t>Charge Per Contract (GBP)</t>
        </is>
      </c>
      <c r="F81" s="13" t="inlineStr">
        <is>
          <t>Net Fee</t>
        </is>
      </c>
      <c r="G81" s="13" t="inlineStr">
        <is>
          <t>VAT @ 20%</t>
        </is>
      </c>
      <c r="H81" s="14" t="inlineStr">
        <is>
          <t>Total Fee (GBP)</t>
        </is>
      </c>
    </row>
    <row r="82">
      <c r="B82" t="inlineStr">
        <is>
          <t>24001226</t>
        </is>
      </c>
      <c r="C82" t="inlineStr">
        <is>
          <t>The Works, Clavering House</t>
        </is>
      </c>
      <c r="D82" t="n">
        <v>1</v>
      </c>
      <c r="E82" s="31" t="n">
        <v>0</v>
      </c>
      <c r="F82" s="31" t="n">
        <v>0</v>
      </c>
      <c r="G82" s="31" t="n">
        <v>0</v>
      </c>
      <c r="H82" s="31" t="n">
        <v>0</v>
      </c>
    </row>
    <row r="83">
      <c r="B83" t="inlineStr">
        <is>
          <t>24001260</t>
        </is>
      </c>
      <c r="C83" t="inlineStr">
        <is>
          <t>Riverbridge House Business Centre</t>
        </is>
      </c>
      <c r="D83" t="n">
        <v>1</v>
      </c>
      <c r="E83" s="31" t="n">
        <v>0</v>
      </c>
      <c r="F83" s="31" t="n">
        <v>0</v>
      </c>
      <c r="G83" s="31" t="n">
        <v>0</v>
      </c>
      <c r="H83" s="31" t="n">
        <v>0</v>
      </c>
    </row>
    <row r="84">
      <c r="B84" t="inlineStr">
        <is>
          <t>24001694</t>
        </is>
      </c>
      <c r="C84" t="inlineStr">
        <is>
          <t>Parliament House</t>
        </is>
      </c>
      <c r="D84" t="n">
        <v>1</v>
      </c>
      <c r="E84" s="31" t="n">
        <v>0</v>
      </c>
      <c r="F84" s="31" t="n">
        <v>0</v>
      </c>
      <c r="G84" s="31" t="n">
        <v>0</v>
      </c>
      <c r="H84" s="31" t="n">
        <v>0</v>
      </c>
    </row>
    <row r="85">
      <c r="B85" t="inlineStr">
        <is>
          <t>24001833</t>
        </is>
      </c>
      <c r="C85" t="inlineStr">
        <is>
          <t>Orega Arkwright House</t>
        </is>
      </c>
      <c r="D85" t="n">
        <v>1</v>
      </c>
      <c r="E85" s="31" t="n">
        <v>0</v>
      </c>
      <c r="F85" s="31" t="n">
        <v>0</v>
      </c>
      <c r="G85" s="31" t="n">
        <v>0</v>
      </c>
      <c r="H85" s="31" t="n">
        <v>0</v>
      </c>
    </row>
    <row r="86">
      <c r="B86" t="inlineStr">
        <is>
          <t>24002534</t>
        </is>
      </c>
      <c r="C86" t="inlineStr">
        <is>
          <t>Bloc</t>
        </is>
      </c>
      <c r="D86" t="n">
        <v>1</v>
      </c>
      <c r="E86" s="31" t="n">
        <v>0</v>
      </c>
      <c r="F86" s="31" t="n">
        <v>0</v>
      </c>
      <c r="G86" s="31" t="n">
        <v>0</v>
      </c>
      <c r="H86" s="31" t="n">
        <v>0</v>
      </c>
    </row>
    <row r="87">
      <c r="B87" t="inlineStr">
        <is>
          <t>24002598</t>
        </is>
      </c>
      <c r="C87" t="inlineStr">
        <is>
          <t>Trinity House</t>
        </is>
      </c>
      <c r="D87" t="n">
        <v>1</v>
      </c>
      <c r="E87" s="31" t="n">
        <v>0</v>
      </c>
      <c r="F87" s="31" t="n">
        <v>0</v>
      </c>
      <c r="G87" s="31" t="n">
        <v>0</v>
      </c>
      <c r="H87" s="31" t="n">
        <v>0</v>
      </c>
    </row>
    <row r="88">
      <c r="B88" t="inlineStr">
        <is>
          <t>24002616</t>
        </is>
      </c>
      <c r="C88" t="inlineStr">
        <is>
          <t>Stanley Racing</t>
        </is>
      </c>
      <c r="D88" t="n">
        <v>1</v>
      </c>
      <c r="E88" s="31" t="n">
        <v>0</v>
      </c>
      <c r="F88" s="31" t="n">
        <v>0</v>
      </c>
      <c r="G88" s="31" t="n">
        <v>0</v>
      </c>
      <c r="H88" s="31" t="n">
        <v>0</v>
      </c>
    </row>
    <row r="89">
      <c r="B89" t="inlineStr">
        <is>
          <t>24000891</t>
        </is>
      </c>
      <c r="C89" t="inlineStr">
        <is>
          <t>3 Beer Cart Lane</t>
        </is>
      </c>
      <c r="D89" t="n">
        <v>1</v>
      </c>
      <c r="E89" s="31" t="n">
        <v>0</v>
      </c>
      <c r="F89" s="31" t="n">
        <v>0</v>
      </c>
      <c r="G89" s="31" t="n">
        <v>0</v>
      </c>
      <c r="H89" s="31" t="n">
        <v>0</v>
      </c>
    </row>
    <row r="90">
      <c r="B90" t="inlineStr">
        <is>
          <t>24000895</t>
        </is>
      </c>
      <c r="C90" t="inlineStr">
        <is>
          <t>7 George Street</t>
        </is>
      </c>
      <c r="D90" t="n">
        <v>1</v>
      </c>
      <c r="E90" s="31" t="n">
        <v>0</v>
      </c>
      <c r="F90" s="31" t="n">
        <v>0</v>
      </c>
      <c r="G90" s="31" t="n">
        <v>0</v>
      </c>
      <c r="H90" s="31" t="n">
        <v>0</v>
      </c>
    </row>
    <row r="91">
      <c r="B91" t="inlineStr">
        <is>
          <t>24000899</t>
        </is>
      </c>
      <c r="C91" t="inlineStr">
        <is>
          <t>Building 123, Bicester Heritage</t>
        </is>
      </c>
      <c r="D91" t="n">
        <v>1</v>
      </c>
      <c r="E91" s="31" t="n">
        <v>0</v>
      </c>
      <c r="F91" s="31" t="n">
        <v>0</v>
      </c>
      <c r="G91" s="31" t="n">
        <v>0</v>
      </c>
      <c r="H91" s="31" t="n">
        <v>0</v>
      </c>
    </row>
    <row r="92">
      <c r="B92" t="inlineStr">
        <is>
          <t>24000906</t>
        </is>
      </c>
      <c r="C92" t="inlineStr">
        <is>
          <t>Quadrant House South</t>
        </is>
      </c>
      <c r="D92" t="n">
        <v>1</v>
      </c>
      <c r="E92" s="31" t="n">
        <v>0</v>
      </c>
      <c r="F92" s="31" t="n">
        <v>0</v>
      </c>
      <c r="G92" s="31" t="n">
        <v>0</v>
      </c>
      <c r="H92" s="31" t="n">
        <v>0</v>
      </c>
    </row>
    <row r="93">
      <c r="B93" t="inlineStr">
        <is>
          <t>24000927</t>
        </is>
      </c>
      <c r="C93" t="inlineStr">
        <is>
          <t>8 High Street</t>
        </is>
      </c>
      <c r="D93" t="n">
        <v>1</v>
      </c>
      <c r="E93" s="31" t="n">
        <v>0</v>
      </c>
      <c r="F93" s="31" t="n">
        <v>0</v>
      </c>
      <c r="G93" s="31" t="n">
        <v>0</v>
      </c>
      <c r="H93" s="31" t="n">
        <v>0</v>
      </c>
    </row>
    <row r="94">
      <c r="B94" t="inlineStr">
        <is>
          <t>24000965</t>
        </is>
      </c>
      <c r="C94" t="inlineStr">
        <is>
          <t>6 Pembroke Road</t>
        </is>
      </c>
      <c r="D94" t="n">
        <v>1</v>
      </c>
      <c r="E94" s="31" t="n">
        <v>0</v>
      </c>
      <c r="F94" s="31" t="n">
        <v>0</v>
      </c>
      <c r="G94" s="31" t="n">
        <v>0</v>
      </c>
      <c r="H94" s="31" t="n">
        <v>0</v>
      </c>
    </row>
    <row r="95">
      <c r="B95" t="inlineStr">
        <is>
          <t>24000967</t>
        </is>
      </c>
      <c r="C95" t="inlineStr">
        <is>
          <t>14 Hanover Square</t>
        </is>
      </c>
      <c r="D95" t="n">
        <v>1</v>
      </c>
      <c r="E95" s="31" t="n">
        <v>0</v>
      </c>
      <c r="F95" s="31" t="n">
        <v>0</v>
      </c>
      <c r="G95" s="31" t="n">
        <v>0</v>
      </c>
      <c r="H95" s="31" t="n">
        <v>0</v>
      </c>
    </row>
    <row r="96">
      <c r="B96" t="inlineStr">
        <is>
          <t>24000980</t>
        </is>
      </c>
      <c r="C96" t="inlineStr">
        <is>
          <t>Sandy Way</t>
        </is>
      </c>
      <c r="D96" t="n">
        <v>1</v>
      </c>
      <c r="E96" s="31" t="n">
        <v>0</v>
      </c>
      <c r="F96" s="31" t="n">
        <v>0</v>
      </c>
      <c r="G96" s="31" t="n">
        <v>0</v>
      </c>
      <c r="H96" s="31" t="n">
        <v>0</v>
      </c>
    </row>
    <row r="97">
      <c r="B97" t="inlineStr">
        <is>
          <t>24000981</t>
        </is>
      </c>
      <c r="C97" t="inlineStr">
        <is>
          <t>Chartmoor Road</t>
        </is>
      </c>
      <c r="D97" t="n">
        <v>1</v>
      </c>
      <c r="E97" s="31" t="n">
        <v>0</v>
      </c>
      <c r="F97" s="31" t="n">
        <v>0</v>
      </c>
      <c r="G97" s="31" t="n">
        <v>0</v>
      </c>
      <c r="H97" s="31" t="n">
        <v>0</v>
      </c>
    </row>
    <row r="98">
      <c r="B98" t="inlineStr">
        <is>
          <t>24000995</t>
        </is>
      </c>
      <c r="C98" t="inlineStr">
        <is>
          <t>Stanlaw Abbey Business Centre</t>
        </is>
      </c>
      <c r="D98" t="n">
        <v>1</v>
      </c>
      <c r="E98" s="31" t="n">
        <v>0</v>
      </c>
      <c r="F98" s="31" t="n">
        <v>0</v>
      </c>
      <c r="G98" s="31" t="n">
        <v>0</v>
      </c>
      <c r="H98" s="31" t="n">
        <v>0</v>
      </c>
    </row>
    <row r="99">
      <c r="B99" t="inlineStr">
        <is>
          <t>24001004</t>
        </is>
      </c>
      <c r="C99" t="inlineStr">
        <is>
          <t>1 to 3 Oastfield Court</t>
        </is>
      </c>
      <c r="D99" t="n">
        <v>1</v>
      </c>
      <c r="E99" s="31" t="n">
        <v>0</v>
      </c>
      <c r="F99" s="31" t="n">
        <v>0</v>
      </c>
      <c r="G99" s="31" t="n">
        <v>0</v>
      </c>
      <c r="H99" s="31" t="n">
        <v>0</v>
      </c>
    </row>
    <row r="100">
      <c r="B100" t="inlineStr">
        <is>
          <t>24001021</t>
        </is>
      </c>
      <c r="C100" t="inlineStr">
        <is>
          <t>Building 8</t>
        </is>
      </c>
      <c r="D100" t="n">
        <v>1</v>
      </c>
      <c r="E100" s="31" t="n">
        <v>0</v>
      </c>
      <c r="F100" s="31" t="n">
        <v>0</v>
      </c>
      <c r="G100" s="31" t="n">
        <v>0</v>
      </c>
      <c r="H100" s="31" t="n">
        <v>0</v>
      </c>
    </row>
    <row r="101">
      <c r="B101" t="inlineStr">
        <is>
          <t>24001050</t>
        </is>
      </c>
      <c r="C101" t="inlineStr">
        <is>
          <t>The Boatyard</t>
        </is>
      </c>
      <c r="D101" t="n">
        <v>1</v>
      </c>
      <c r="E101" s="31" t="n">
        <v>0</v>
      </c>
      <c r="F101" s="31" t="n">
        <v>0</v>
      </c>
      <c r="G101" s="31" t="n">
        <v>0</v>
      </c>
      <c r="H101" s="31" t="n">
        <v>0</v>
      </c>
    </row>
    <row r="102">
      <c r="B102" t="inlineStr">
        <is>
          <t>24001060</t>
        </is>
      </c>
      <c r="C102" t="inlineStr">
        <is>
          <t>70 Mark Lane</t>
        </is>
      </c>
      <c r="D102" t="n">
        <v>1</v>
      </c>
      <c r="E102" s="31" t="n">
        <v>0</v>
      </c>
      <c r="F102" s="31" t="n">
        <v>0</v>
      </c>
      <c r="G102" s="31" t="n">
        <v>0</v>
      </c>
      <c r="H102" s="31" t="n">
        <v>0</v>
      </c>
    </row>
    <row r="103">
      <c r="B103" t="inlineStr">
        <is>
          <t>24001097</t>
        </is>
      </c>
      <c r="C103" t="inlineStr">
        <is>
          <t>52 Wimbledon Hill Road</t>
        </is>
      </c>
      <c r="D103" t="n">
        <v>1</v>
      </c>
      <c r="E103" s="31" t="n">
        <v>0</v>
      </c>
      <c r="F103" s="31" t="n">
        <v>0</v>
      </c>
      <c r="G103" s="31" t="n">
        <v>0</v>
      </c>
      <c r="H103" s="31" t="n">
        <v>0</v>
      </c>
    </row>
    <row r="104">
      <c r="B104" t="inlineStr">
        <is>
          <t>24001105</t>
        </is>
      </c>
      <c r="C104" t="inlineStr">
        <is>
          <t>104/104a High Street</t>
        </is>
      </c>
      <c r="D104" t="n">
        <v>1</v>
      </c>
      <c r="E104" s="31" t="n">
        <v>0</v>
      </c>
      <c r="F104" s="31" t="n">
        <v>0</v>
      </c>
      <c r="G104" s="31" t="n">
        <v>0</v>
      </c>
      <c r="H104" s="31" t="n">
        <v>0</v>
      </c>
    </row>
    <row r="105">
      <c r="B105" t="inlineStr">
        <is>
          <t>24001118</t>
        </is>
      </c>
      <c r="C105" t="inlineStr">
        <is>
          <t>10A Gateside Street</t>
        </is>
      </c>
      <c r="D105" t="n">
        <v>1</v>
      </c>
      <c r="E105" s="31" t="n">
        <v>0</v>
      </c>
      <c r="F105" s="31" t="n">
        <v>0</v>
      </c>
      <c r="G105" s="31" t="n">
        <v>0</v>
      </c>
      <c r="H105" s="31" t="n">
        <v>0</v>
      </c>
    </row>
    <row r="106">
      <c r="B106" t="inlineStr">
        <is>
          <t>24001121</t>
        </is>
      </c>
      <c r="C106" t="inlineStr">
        <is>
          <t>37 Carmunnock Road</t>
        </is>
      </c>
      <c r="D106" t="n">
        <v>1</v>
      </c>
      <c r="E106" s="31" t="n">
        <v>0</v>
      </c>
      <c r="F106" s="31" t="n">
        <v>0</v>
      </c>
      <c r="G106" s="31" t="n">
        <v>0</v>
      </c>
      <c r="H106" s="31" t="n">
        <v>0</v>
      </c>
    </row>
    <row r="107">
      <c r="B107" t="inlineStr">
        <is>
          <t>24001130</t>
        </is>
      </c>
      <c r="C107" t="inlineStr">
        <is>
          <t>14-16 Verney Road</t>
        </is>
      </c>
      <c r="D107" t="n">
        <v>1</v>
      </c>
      <c r="E107" s="31" t="n">
        <v>0</v>
      </c>
      <c r="F107" s="31" t="n">
        <v>0</v>
      </c>
      <c r="G107" s="31" t="n">
        <v>0</v>
      </c>
      <c r="H107" s="31" t="n">
        <v>0</v>
      </c>
    </row>
    <row r="108">
      <c r="B108" t="inlineStr">
        <is>
          <t>24001134</t>
        </is>
      </c>
      <c r="C108" t="inlineStr">
        <is>
          <t>The Aske Stables</t>
        </is>
      </c>
      <c r="D108" t="n">
        <v>1</v>
      </c>
      <c r="E108" s="31" t="n">
        <v>0</v>
      </c>
      <c r="F108" s="31" t="n">
        <v>0</v>
      </c>
      <c r="G108" s="31" t="n">
        <v>0</v>
      </c>
      <c r="H108" s="31" t="n">
        <v>0</v>
      </c>
    </row>
    <row r="109">
      <c r="B109" t="inlineStr">
        <is>
          <t>24001136</t>
        </is>
      </c>
      <c r="C109" t="inlineStr">
        <is>
          <t>Blythe Valley Business Park</t>
        </is>
      </c>
      <c r="D109" t="n">
        <v>1</v>
      </c>
      <c r="E109" s="31" t="n">
        <v>0</v>
      </c>
      <c r="F109" s="31" t="n">
        <v>0</v>
      </c>
      <c r="G109" s="31" t="n">
        <v>0</v>
      </c>
      <c r="H109" s="31" t="n">
        <v>0</v>
      </c>
    </row>
    <row r="110">
      <c r="B110" t="inlineStr">
        <is>
          <t>24001148</t>
        </is>
      </c>
      <c r="C110" t="inlineStr">
        <is>
          <t>Florence House</t>
        </is>
      </c>
      <c r="D110" t="n">
        <v>1</v>
      </c>
      <c r="E110" s="31" t="n">
        <v>0</v>
      </c>
      <c r="F110" s="31" t="n">
        <v>0</v>
      </c>
      <c r="G110" s="31" t="n">
        <v>0</v>
      </c>
      <c r="H110" s="31" t="n">
        <v>0</v>
      </c>
    </row>
    <row r="111">
      <c r="B111" t="inlineStr">
        <is>
          <t>24001183</t>
        </is>
      </c>
      <c r="C111" t="inlineStr">
        <is>
          <t>Global Reach, Celtic Gateway Business Park</t>
        </is>
      </c>
      <c r="D111" t="n">
        <v>1</v>
      </c>
      <c r="E111" s="31" t="n">
        <v>0</v>
      </c>
      <c r="F111" s="31" t="n">
        <v>0</v>
      </c>
      <c r="G111" s="31" t="n">
        <v>0</v>
      </c>
      <c r="H111" s="31" t="n">
        <v>0</v>
      </c>
    </row>
    <row r="112">
      <c r="B112" t="inlineStr">
        <is>
          <t>24001187</t>
        </is>
      </c>
      <c r="C112" t="inlineStr">
        <is>
          <t>Ferris House</t>
        </is>
      </c>
      <c r="D112" t="n">
        <v>1</v>
      </c>
      <c r="E112" s="31" t="n">
        <v>0</v>
      </c>
      <c r="F112" s="31" t="n">
        <v>0</v>
      </c>
      <c r="G112" s="31" t="n">
        <v>0</v>
      </c>
      <c r="H112" s="31" t="n">
        <v>0</v>
      </c>
    </row>
    <row r="113">
      <c r="B113" t="inlineStr">
        <is>
          <t>24001198</t>
        </is>
      </c>
      <c r="C113" t="inlineStr">
        <is>
          <t>Lynch Wood Business Park</t>
        </is>
      </c>
      <c r="D113" t="n">
        <v>1</v>
      </c>
      <c r="E113" s="31" t="n">
        <v>0</v>
      </c>
      <c r="F113" s="31" t="n">
        <v>0</v>
      </c>
      <c r="G113" s="31" t="n">
        <v>0</v>
      </c>
      <c r="H113" s="31" t="n">
        <v>0</v>
      </c>
    </row>
    <row r="114">
      <c r="B114" t="inlineStr">
        <is>
          <t>24001199</t>
        </is>
      </c>
      <c r="C114" t="inlineStr">
        <is>
          <t>Alton House</t>
        </is>
      </c>
      <c r="D114" t="n">
        <v>1</v>
      </c>
      <c r="E114" s="31" t="n">
        <v>0</v>
      </c>
      <c r="F114" s="31" t="n">
        <v>0</v>
      </c>
      <c r="G114" s="31" t="n">
        <v>0</v>
      </c>
      <c r="H114" s="31" t="n">
        <v>0</v>
      </c>
    </row>
    <row r="115">
      <c r="B115" t="inlineStr">
        <is>
          <t>24001200</t>
        </is>
      </c>
      <c r="C115" t="inlineStr">
        <is>
          <t>28 Laurence Street</t>
        </is>
      </c>
      <c r="D115" t="n">
        <v>1</v>
      </c>
      <c r="E115" s="31" t="n">
        <v>0</v>
      </c>
      <c r="F115" s="31" t="n">
        <v>0</v>
      </c>
      <c r="G115" s="31" t="n">
        <v>0</v>
      </c>
      <c r="H115" s="31" t="n">
        <v>0</v>
      </c>
    </row>
    <row r="116">
      <c r="B116" t="inlineStr">
        <is>
          <t>24001201</t>
        </is>
      </c>
      <c r="C116" t="inlineStr">
        <is>
          <t>The Axis Building</t>
        </is>
      </c>
      <c r="D116" t="n">
        <v>1</v>
      </c>
      <c r="E116" s="31" t="n">
        <v>0</v>
      </c>
      <c r="F116" s="31" t="n">
        <v>0</v>
      </c>
      <c r="G116" s="31" t="n">
        <v>0</v>
      </c>
      <c r="H116" s="31" t="n">
        <v>0</v>
      </c>
    </row>
    <row r="117">
      <c r="B117" t="inlineStr">
        <is>
          <t>24001209</t>
        </is>
      </c>
      <c r="C117" t="inlineStr">
        <is>
          <t>Dawson House</t>
        </is>
      </c>
      <c r="D117" t="n">
        <v>1</v>
      </c>
      <c r="E117" s="31" t="n">
        <v>0</v>
      </c>
      <c r="F117" s="31" t="n">
        <v>0</v>
      </c>
      <c r="G117" s="31" t="n">
        <v>0</v>
      </c>
      <c r="H117" s="31" t="n">
        <v>0</v>
      </c>
    </row>
    <row r="118">
      <c r="B118" t="inlineStr">
        <is>
          <t>24001210</t>
        </is>
      </c>
      <c r="C118" t="inlineStr">
        <is>
          <t>Haatch Desks, The Avenue</t>
        </is>
      </c>
      <c r="D118" t="n">
        <v>1</v>
      </c>
      <c r="E118" s="31" t="n">
        <v>0</v>
      </c>
      <c r="F118" s="31" t="n">
        <v>0</v>
      </c>
      <c r="G118" s="31" t="n">
        <v>0</v>
      </c>
      <c r="H118" s="31" t="n">
        <v>0</v>
      </c>
    </row>
    <row r="119">
      <c r="B119" t="inlineStr">
        <is>
          <t>24001211</t>
        </is>
      </c>
      <c r="C119" t="inlineStr">
        <is>
          <t>Regus Winnersh Triangle</t>
        </is>
      </c>
      <c r="D119" t="n">
        <v>1</v>
      </c>
      <c r="E119" s="31" t="n">
        <v>0</v>
      </c>
      <c r="F119" s="31" t="n">
        <v>0</v>
      </c>
      <c r="G119" s="31" t="n">
        <v>0</v>
      </c>
      <c r="H119" s="31" t="n">
        <v>0</v>
      </c>
    </row>
    <row r="120">
      <c r="B120" t="inlineStr">
        <is>
          <t>Freehold</t>
        </is>
      </c>
      <c r="C120" t="inlineStr">
        <is>
          <t>47a Market Square</t>
        </is>
      </c>
      <c r="D120" t="n">
        <v>1</v>
      </c>
      <c r="E120" s="31" t="n">
        <v>0</v>
      </c>
      <c r="F120" s="31" t="n">
        <v>0</v>
      </c>
      <c r="G120" s="31" t="n">
        <v>0</v>
      </c>
      <c r="H120" s="31" t="n">
        <v>0</v>
      </c>
    </row>
    <row r="121">
      <c r="B121" t="inlineStr">
        <is>
          <t>Freehold</t>
        </is>
      </c>
      <c r="C121" t="inlineStr">
        <is>
          <t>59 Eastgate Street</t>
        </is>
      </c>
      <c r="D121" t="n">
        <v>1</v>
      </c>
      <c r="E121" s="31" t="n">
        <v>0</v>
      </c>
      <c r="F121" s="31" t="n">
        <v>0</v>
      </c>
      <c r="G121" s="31" t="n">
        <v>0</v>
      </c>
      <c r="H121" s="31" t="n">
        <v>0</v>
      </c>
    </row>
    <row r="122">
      <c r="B122" t="inlineStr">
        <is>
          <t>Freehold</t>
        </is>
      </c>
      <c r="C122" t="inlineStr">
        <is>
          <t>90-92 Commercial Road</t>
        </is>
      </c>
      <c r="D122" t="n">
        <v>1</v>
      </c>
      <c r="E122" s="31" t="n">
        <v>0</v>
      </c>
      <c r="F122" s="31" t="n">
        <v>0</v>
      </c>
      <c r="G122" s="31" t="n">
        <v>0</v>
      </c>
      <c r="H122" s="31" t="n">
        <v>0</v>
      </c>
    </row>
    <row r="123">
      <c r="B123" t="inlineStr">
        <is>
          <t>Freehold</t>
        </is>
      </c>
      <c r="C123" t="inlineStr">
        <is>
          <t>4-6 Cross Street</t>
        </is>
      </c>
      <c r="D123" t="n">
        <v>1</v>
      </c>
      <c r="E123" s="31" t="n">
        <v>0</v>
      </c>
      <c r="F123" s="31" t="n">
        <v>0</v>
      </c>
      <c r="G123" s="31" t="n">
        <v>0</v>
      </c>
      <c r="H123" s="31" t="n">
        <v>0</v>
      </c>
    </row>
    <row r="124">
      <c r="B124" t="inlineStr">
        <is>
          <t>Freehold</t>
        </is>
      </c>
      <c r="C124" t="inlineStr">
        <is>
          <t>6 Vine Street</t>
        </is>
      </c>
      <c r="D124" t="n">
        <v>1</v>
      </c>
      <c r="E124" s="31" t="n">
        <v>0</v>
      </c>
      <c r="F124" s="31" t="n">
        <v>0</v>
      </c>
      <c r="G124" s="31" t="n">
        <v>0</v>
      </c>
      <c r="H124" s="31" t="n">
        <v>0</v>
      </c>
    </row>
    <row r="125">
      <c r="B125" t="inlineStr">
        <is>
          <t>Freehold</t>
        </is>
      </c>
      <c r="C125" t="inlineStr">
        <is>
          <t>89 Duke Street</t>
        </is>
      </c>
      <c r="D125" t="n">
        <v>1</v>
      </c>
      <c r="E125" s="31" t="n">
        <v>0</v>
      </c>
      <c r="F125" s="31" t="n">
        <v>0</v>
      </c>
      <c r="G125" s="31" t="n">
        <v>0</v>
      </c>
      <c r="H125" s="31" t="n">
        <v>0</v>
      </c>
    </row>
    <row r="126">
      <c r="B126" t="inlineStr">
        <is>
          <t>Freehold</t>
        </is>
      </c>
      <c r="C126" t="inlineStr">
        <is>
          <t>29 Courtenay Street</t>
        </is>
      </c>
      <c r="D126" t="n">
        <v>1</v>
      </c>
      <c r="E126" s="31" t="n">
        <v>0</v>
      </c>
      <c r="F126" s="31" t="n">
        <v>0</v>
      </c>
      <c r="G126" s="31" t="n">
        <v>0</v>
      </c>
      <c r="H126" s="31" t="n">
        <v>0</v>
      </c>
    </row>
    <row r="127">
      <c r="B127" t="inlineStr">
        <is>
          <t>Freehold</t>
        </is>
      </c>
      <c r="C127" t="inlineStr">
        <is>
          <t>1543 Stratford Road</t>
        </is>
      </c>
      <c r="D127" t="n">
        <v>1</v>
      </c>
      <c r="E127" s="31" t="n">
        <v>0</v>
      </c>
      <c r="F127" s="31" t="n">
        <v>0</v>
      </c>
      <c r="G127" s="31" t="n">
        <v>0</v>
      </c>
      <c r="H127" s="31" t="n">
        <v>0</v>
      </c>
    </row>
    <row r="128">
      <c r="B128" t="inlineStr">
        <is>
          <t>Freehold</t>
        </is>
      </c>
      <c r="C128" t="inlineStr">
        <is>
          <t>44 Northbrook Street</t>
        </is>
      </c>
      <c r="D128" t="n">
        <v>1</v>
      </c>
      <c r="E128" s="31" t="n">
        <v>0</v>
      </c>
      <c r="F128" s="31" t="n">
        <v>0</v>
      </c>
      <c r="G128" s="31" t="n">
        <v>0</v>
      </c>
      <c r="H128" s="31" t="n">
        <v>0</v>
      </c>
    </row>
    <row r="129">
      <c r="B129" t="inlineStr">
        <is>
          <t>Freehold</t>
        </is>
      </c>
      <c r="C129" t="inlineStr">
        <is>
          <t>3-5 Main Street</t>
        </is>
      </c>
      <c r="D129" t="n">
        <v>1</v>
      </c>
      <c r="E129" s="31" t="n">
        <v>0</v>
      </c>
      <c r="F129" s="31" t="n">
        <v>0</v>
      </c>
      <c r="G129" s="31" t="n">
        <v>0</v>
      </c>
      <c r="H129" s="31" t="n">
        <v>0</v>
      </c>
    </row>
    <row r="130">
      <c r="D130" t="inlineStr">
        <is>
          <t>Total</t>
        </is>
      </c>
      <c r="F130" s="31" t="n">
        <v>0</v>
      </c>
      <c r="G130" s="31" t="n">
        <v>0</v>
      </c>
      <c r="H130" s="31" t="n">
        <v>0</v>
      </c>
    </row>
    <row r="131"/>
    <row r="132">
      <c r="B132" s="28" t="inlineStr">
        <is>
          <t>Translations Completed</t>
        </is>
      </c>
      <c r="C132" s="29" t="n"/>
      <c r="D132" s="1" t="n"/>
      <c r="E132" s="1" t="n"/>
      <c r="F132" s="1" t="n"/>
      <c r="G132" s="1" t="n"/>
      <c r="H132" s="30" t="n"/>
    </row>
    <row r="133">
      <c r="B133" s="12" t="inlineStr">
        <is>
          <t>System ID</t>
        </is>
      </c>
      <c r="C133" s="12" t="inlineStr">
        <is>
          <t>Property Name</t>
        </is>
      </c>
      <c r="D133" s="13" t="inlineStr">
        <is>
          <t>Number of Contracts</t>
        </is>
      </c>
      <c r="E133" s="13" t="inlineStr">
        <is>
          <t>Charge Per Contract (GBP)</t>
        </is>
      </c>
      <c r="F133" s="13" t="inlineStr">
        <is>
          <t>Net Fee</t>
        </is>
      </c>
      <c r="G133" s="13" t="inlineStr">
        <is>
          <t>VAT @ 20%</t>
        </is>
      </c>
      <c r="H133" s="14" t="inlineStr">
        <is>
          <t>Total Fee (GBP)</t>
        </is>
      </c>
    </row>
    <row r="134"/>
    <row r="135"/>
    <row r="136"/>
    <row r="137"/>
    <row r="138">
      <c r="G138" t="inlineStr">
        <is>
          <t>Grand Total (GBP)</t>
        </is>
      </c>
      <c r="H138" s="31">
        <f>IFERROR($H$14,0)+SUMIF($D:$D,"Total",$H:$H)</f>
        <v/>
      </c>
    </row>
  </sheetData>
  <mergeCells count="1">
    <mergeCell ref="B11:B13"/>
  </mergeCells>
  <pageMargins left="0.7086614173228347" right="0.7086614173228347" top="1.197916666666667" bottom="0.7480314960629921" header="0.3149606299212598" footer="0.3149606299212598"/>
  <pageSetup orientation="portrait" paperSize="9" horizontalDpi="360" verticalDpi="36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6A6B48CA3A864990E636821327E3AD" ma:contentTypeVersion="12" ma:contentTypeDescription="Create a new document." ma:contentTypeScope="" ma:versionID="7d36abcf32dd3d43e523dd28f2d7d546">
  <xsd:schema xmlns:xsd="http://www.w3.org/2001/XMLSchema" xmlns:xs="http://www.w3.org/2001/XMLSchema" xmlns:p="http://schemas.microsoft.com/office/2006/metadata/properties" xmlns:ns2="b445f2b0-1fd4-4dae-ae74-8a8b32a004e2" xmlns:ns3="dc5ee816-ad64-41df-89a6-20bc5ed5013b" targetNamespace="http://schemas.microsoft.com/office/2006/metadata/properties" ma:root="true" ma:fieldsID="89eba20aba23537fc66962a80aad725c" ns2:_="" ns3:_="">
    <xsd:import namespace="b445f2b0-1fd4-4dae-ae74-8a8b32a004e2"/>
    <xsd:import namespace="dc5ee816-ad64-41df-89a6-20bc5ed50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5f2b0-1fd4-4dae-ae74-8a8b32a004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03dad2-d4f9-409a-ad2a-f264b332fc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ee816-ad64-41df-89a6-20bc5ed501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4d24f-0236-4eaf-8424-7af1330df3ce}" ma:internalName="TaxCatchAll" ma:showField="CatchAllData" ma:web="dc5ee816-ad64-41df-89a6-20bc5ed501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45f2b0-1fd4-4dae-ae74-8a8b32a004e2">
      <Terms xmlns="http://schemas.microsoft.com/office/infopath/2007/PartnerControls"/>
    </lcf76f155ced4ddcb4097134ff3c332f>
    <TaxCatchAll xmlns="dc5ee816-ad64-41df-89a6-20bc5ed5013b" xsi:nil="true"/>
  </documentManagement>
</p:properties>
</file>

<file path=customXml/itemProps1.xml><?xml version="1.0" encoding="utf-8"?>
<ds:datastoreItem xmlns:ds="http://schemas.openxmlformats.org/officeDocument/2006/customXml" ds:itemID="{D37202BB-20D6-4796-AC91-02FCD14AF879}"/>
</file>

<file path=customXml/itemProps2.xml><?xml version="1.0" encoding="utf-8"?>
<ds:datastoreItem xmlns:ds="http://schemas.openxmlformats.org/officeDocument/2006/customXml" ds:itemID="{126B4435-4FAB-441B-8123-8E81452D2308}"/>
</file>

<file path=customXml/itemProps3.xml><?xml version="1.0" encoding="utf-8"?>
<ds:datastoreItem xmlns:ds="http://schemas.openxmlformats.org/officeDocument/2006/customXml" ds:itemID="{AE741F9A-A94B-47BB-8733-B7ED5460AF1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2026-03-03T10:41:42Z</dcterms:created>
  <dcterms:modified xsi:type="dcterms:W3CDTF">2026-03-03T10:41:42Z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0x010100E96A6B48CA3A864990E636821327E3AD</vt:lpwstr>
  </property>
</Properties>
</file>